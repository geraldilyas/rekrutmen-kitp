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uprtes-my.sharepoint.com/personal/sudarmono_pu_go_id/Documents/2026 konsultan individu/Konsultan Individu/"/>
    </mc:Choice>
  </mc:AlternateContent>
  <xr:revisionPtr revIDLastSave="0" documentId="8_{699A0A44-3A51-48B5-81C3-8B9BFD70B5C3}" xr6:coauthVersionLast="47" xr6:coauthVersionMax="47" xr10:uidLastSave="{00000000-0000-0000-0000-000000000000}"/>
  <bookViews>
    <workbookView xWindow="-110" yWindow="-110" windowWidth="19420" windowHeight="10300" firstSheet="4" activeTab="4" xr2:uid="{F33B39A6-5285-4FE6-8998-A6697A529140}"/>
  </bookViews>
  <sheets>
    <sheet name="Satker BBWSMS" sheetId="2" r:id="rId1"/>
    <sheet name="SNVT PJSAMS" sheetId="3" r:id="rId2"/>
    <sheet name="SNVT PB" sheetId="4" r:id="rId3"/>
    <sheet name="SNVT PJPA" sheetId="5" r:id="rId4"/>
    <sheet name="Satker OPSDAMS" sheetId="6" r:id="rId5"/>
  </sheets>
  <definedNames>
    <definedName name="_xlnm._FilterDatabase" localSheetId="4" hidden="1">'Satker OPSDAMS'!$A$13:$N$13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6" l="1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15" i="6"/>
  <c r="N16" i="2"/>
  <c r="N17" i="2"/>
  <c r="N18" i="2"/>
  <c r="N15" i="2"/>
</calcChain>
</file>

<file path=xl/sharedStrings.xml><?xml version="1.0" encoding="utf-8"?>
<sst xmlns="http://schemas.openxmlformats.org/spreadsheetml/2006/main" count="734" uniqueCount="382">
  <si>
    <t>Format Laporan Data Tenaga Ahli/Konsultan Perorangan/ Tenaga Ahli Daya</t>
  </si>
  <si>
    <t>LAPORAN DATA</t>
  </si>
  <si>
    <t>TENAGA AHLI/KONSULTAN PERORANGAN UNIT</t>
  </si>
  <si>
    <t>SATUAN KERJA BALAI BESAR WILAYAH SUNGAI MESUJI SEKAMPUNG</t>
  </si>
  <si>
    <t>TAHUN ANGGARAN 2026</t>
  </si>
  <si>
    <t>No</t>
  </si>
  <si>
    <t>Nama</t>
  </si>
  <si>
    <t>NIK</t>
  </si>
  <si>
    <t>Tempat, Tanggal Lahir</t>
  </si>
  <si>
    <t>Pendidikan/Sertifikasi</t>
  </si>
  <si>
    <t>Jabatan</t>
  </si>
  <si>
    <t>Deskripsi Singkat Tugas Jabatan</t>
  </si>
  <si>
    <t>Data Kontak</t>
  </si>
  <si>
    <t>Akun Pembayaran</t>
  </si>
  <si>
    <t>Besaran Penghasilan per Bulan</t>
  </si>
  <si>
    <t>Jenjang</t>
  </si>
  <si>
    <t>Program Studi</t>
  </si>
  <si>
    <t>Sertifikasi</t>
  </si>
  <si>
    <t>Mulai</t>
  </si>
  <si>
    <t>Akhir</t>
  </si>
  <si>
    <t>Jenis</t>
  </si>
  <si>
    <t>Basuki Rohmat, S.T.</t>
  </si>
  <si>
    <t>1871131111730000</t>
  </si>
  <si>
    <t>Sukoharjo, 11-11-1973</t>
  </si>
  <si>
    <t>S1</t>
  </si>
  <si>
    <t>Teknik Sipil</t>
  </si>
  <si>
    <t>Ahli Madya Bidang Keahlian Teknik Sumber Daya Air</t>
  </si>
  <si>
    <t>Konsultan Perorangan</t>
  </si>
  <si>
    <t>- Melakukan pengumpulan data pendukung.
- Melakukan telaah terhadap data pendukung.
- Mengevaluasi perubahan desain dalam pelaksanaan konstruksi berdasarkan kebutuhan BBWS Mesuji Sekampung.
- Membantu pelaksanaan desain serta memberikan rekomendasi desain teknis pada kegiatan yang dilaksanakan berdasarkan Instruksi Presiden Nomor 2 Tahun 2025, khususnya yang berkaitan dengan program swasembada dan/atau ketahanan pangan.
- Penyusunan basic design dan rekomendasi kegiatan lain sesuai kebutuhan BBWS Mesuji Sekampung.
- Melakukan rapat koordinasi Tim Unit Perencanaan tingkat BBWS Mesuji Sekampung.</t>
  </si>
  <si>
    <t>Bulanan</t>
  </si>
  <si>
    <t>145.03.FC/7690/7690.BAH.002/301/A/522131</t>
  </si>
  <si>
    <t>Imanuel Three Ranteta’dung, S.T.</t>
  </si>
  <si>
    <t>7326032612950001</t>
  </si>
  <si>
    <t>Dili, 26 Desember 1995</t>
  </si>
  <si>
    <t>Ahli Utama Bidang Keahlian Teknik Sumber Daya Air</t>
  </si>
  <si>
    <t>Konsultan Individu Tenaga Ahli SDA</t>
  </si>
  <si>
    <t>Analisis dan perhitungan potensi ketersediaan dan kebutuhan air pada DAS Prioritas sampai dengan tingkat Ordo 3 di Wilayah Sungai (WS) Seputih-Sekampung dan WS Mesuji-Tulang Bawang</t>
  </si>
  <si>
    <t>145.03.FC/7690/7690.CBR.006/301/A/522131</t>
  </si>
  <si>
    <t>Anisa Meidasari, S.T.</t>
  </si>
  <si>
    <t>1871054105020007</t>
  </si>
  <si>
    <t>Bandar Lampung, 01 Mei 2002</t>
  </si>
  <si>
    <t>Non SKK</t>
  </si>
  <si>
    <t>Tenaga Pendukung TKPSDA</t>
  </si>
  <si>
    <t>Membantu sekretariat dalam melaksanakan tugas dan fungsi TKPSDA WS dalam koordinasi pengelolaan sumber daya air</t>
  </si>
  <si>
    <t>145.03.FC/7695/7695.AEA.001/312/B/522191</t>
  </si>
  <si>
    <t>Galuh Nanda Sutri, S.T.</t>
  </si>
  <si>
    <t>1806024204010004</t>
  </si>
  <si>
    <t>Talang Padang, 02 April 2001</t>
  </si>
  <si>
    <t>145.03.FC/7695/7695.AEA.001/312/A/522191</t>
  </si>
  <si>
    <t>Ir. Edi Yitno Nugroho</t>
  </si>
  <si>
    <t>1871011212610004</t>
  </si>
  <si>
    <t>Yogyakarta, 21 Desember 1961</t>
  </si>
  <si>
    <t>Ahli Muda Bidang Keahlian Teknik Sumber Daya Air</t>
  </si>
  <si>
    <t>Melakukan  studi  rasionalisasi  jaringan hidrologi terhadap stasiun-stasiun yang terpasang yang pengelolaannya dilakukan oleh berbagai pihak serta mengevaluasi apakah jaringan yang ada (terpasang) saat ini sudah memenuhi kriteria</t>
  </si>
  <si>
    <t>145.03.FC/7690/7690.BMA.002/309/A/522131</t>
  </si>
  <si>
    <t>Lukman Anwar Dwi Saputra, S.Si.</t>
  </si>
  <si>
    <t>1871012609820004</t>
  </si>
  <si>
    <t>Bandar Lampung, 26 September 1982</t>
  </si>
  <si>
    <t>Geografi</t>
  </si>
  <si>
    <t>Manajer/Spesialis Sistem Informasi Geografis</t>
  </si>
  <si>
    <t>Konsultan Individu Asisten Tenaga Ahli GIS</t>
  </si>
  <si>
    <t>Perawat</t>
  </si>
  <si>
    <t>SNVT PJSA MESUJI SEKAMPUNG</t>
  </si>
  <si>
    <t>SNVT PEMBANGUNAN BENDUNGAN BBWS MESUJI SEKAMPUNG</t>
  </si>
  <si>
    <t>KASTAMTO</t>
  </si>
  <si>
    <t>1871101311730003</t>
  </si>
  <si>
    <t>Banyumas, 13 Nopember 1973</t>
  </si>
  <si>
    <t>S2</t>
  </si>
  <si>
    <t>Magister SDA</t>
  </si>
  <si>
    <t>Ahli Bendungan</t>
  </si>
  <si>
    <t>Tenaga Ahli Prom Bendungan Margatiga</t>
  </si>
  <si>
    <t>Melakukan penyusunan laporan hasil pemeriksaan bendungan untuk persiapan operasi dan pemeliharaan Bendungan Margatiga</t>
  </si>
  <si>
    <t>Lumpsum</t>
  </si>
  <si>
    <t>HASIHOLAN PERKASA HUTAURUK</t>
  </si>
  <si>
    <t>1801040609960009</t>
  </si>
  <si>
    <t>Bandar Lampung, 06 September 1996</t>
  </si>
  <si>
    <t>Ahli Muda Teknik Jalan</t>
  </si>
  <si>
    <t>Surveyor Prom Bendungan Margatiga</t>
  </si>
  <si>
    <t>Mendukung tenaga ahli dalam penyesuaian data desain dan kondisi aktual lapangan dan menyusun laporan data teknis Bendungan Margatiga</t>
  </si>
  <si>
    <t>AGUS WORO</t>
  </si>
  <si>
    <t>1810052108830002</t>
  </si>
  <si>
    <t>Panutan, 21 Agustus 1983</t>
  </si>
  <si>
    <t>SMU</t>
  </si>
  <si>
    <t>IPS</t>
  </si>
  <si>
    <t>SKK Surveyor</t>
  </si>
  <si>
    <t>HARYANTI</t>
  </si>
  <si>
    <t>1871054705970004</t>
  </si>
  <si>
    <t>Bandar Lampung, 07 Juni 1997</t>
  </si>
  <si>
    <t>Pendidikan Geografi</t>
  </si>
  <si>
    <t>(Supporting Staff) Operator Komputer Prom Bendungan Margatiga</t>
  </si>
  <si>
    <t>Mendukung kegiatan administrasi, dokumentasi dan membantu penyusunan laporan pekerjaan berdasarkan data lapangan</t>
  </si>
  <si>
    <t>Ir. Wisnu Busono</t>
  </si>
  <si>
    <t>Tenaga Ahli Bendungan  Supervisi Penanganan Bocoran Bendungan Way Sekampung</t>
  </si>
  <si>
    <t>Adrian Yulianto, S.T.</t>
  </si>
  <si>
    <t>Tenaga Ahli Geologi  Supervisi Penanganan Bocoran Bendungan Way Sekampung</t>
  </si>
  <si>
    <t>Muliyan, S.T</t>
  </si>
  <si>
    <t>Tenaga Ahli Instrumentasi Supervisi Penanganan Bocoran Bendungan Way Sekampung</t>
  </si>
  <si>
    <t>Gia Yudi Panca Dharma, S.T.</t>
  </si>
  <si>
    <t>Tenaga Ahli Operasi &amp; Pemeliharaan Supervisi Penanganan Bocoran Bendungan Way Sekampung</t>
  </si>
  <si>
    <t>Fahren Otniel Naibaho</t>
  </si>
  <si>
    <t>Surveyor Supervisi Penanganan Bocoran Bendungan Way Sekampung</t>
  </si>
  <si>
    <t>Jhosyan Abednego Putra Hasibuan</t>
  </si>
  <si>
    <t>Alfito Priyono</t>
  </si>
  <si>
    <t>Dita Lelana Febrianto, S.T.</t>
  </si>
  <si>
    <t>Tenaga Ahli Geoteknik Sertifikasi Izin Operasi Bendungan Way Sekampung</t>
  </si>
  <si>
    <t>Nyong Usman, S.T.</t>
  </si>
  <si>
    <t>Tenaga Ahli Hidrologi Sertifikasi Izin Operasi Bendungan Way Sekampung</t>
  </si>
  <si>
    <t>Yusuf, S.T</t>
  </si>
  <si>
    <t>Tenaga Ahli Instrumentasi Bendungan Sertifikasi Izin Operasi Bendungan Way Sekampung</t>
  </si>
  <si>
    <t>Handoyo, S.T</t>
  </si>
  <si>
    <t>Tenaga Ahli Geodesi Sertifikasi Izin Operasi Bendungan Way Sekampung</t>
  </si>
  <si>
    <t>Fernando Sinaga, S.T.</t>
  </si>
  <si>
    <t>Tenaga Ahli Operasi &amp; Pemeliharaan Sertifikasi Izin Operasi Bendungan Way Sekampung</t>
  </si>
  <si>
    <t>Budiono, S.T.</t>
  </si>
  <si>
    <t>Tenaga Ahli Hidromekanikal Sertifikasi Izin Operasi Bendungan Way Sekampung</t>
  </si>
  <si>
    <t>Elia Putra Zebua</t>
  </si>
  <si>
    <t>Surveyor Sertifikasi Izin Operasi Bendungan Way Sekampung</t>
  </si>
  <si>
    <t>Feri Irawan Subing</t>
  </si>
  <si>
    <t>Yaser Arafat</t>
  </si>
  <si>
    <t>Tenaga Ahli Bendungan Supervisi Penanganan Retakan Bendungan Batutegi</t>
  </si>
  <si>
    <t>Denis Mararis, S.T</t>
  </si>
  <si>
    <t>Tenaga Ahli Geoteknik Supervisi Penanganan Retakan Bendungan Batutegi</t>
  </si>
  <si>
    <t>Achsin Wijayanto, S.T.</t>
  </si>
  <si>
    <t>Tenaga Ahli Hidrologi Supervisi Penanganan Retakan Bendungan Batutegi</t>
  </si>
  <si>
    <t>Apran Firson Lapatro, S.T.</t>
  </si>
  <si>
    <t>Tenaga Ahli Instrumentasi Supervisi Penanganan Retakan Bendungan Batutegi</t>
  </si>
  <si>
    <t>Fathoni Afriantara, S.T.</t>
  </si>
  <si>
    <t>Tenaga Ahli Operasi &amp; Pemeliharaan Supervisi Penanganan Retakan Bendungan Batutegi</t>
  </si>
  <si>
    <t>Ryan Wirayudha. S</t>
  </si>
  <si>
    <t>Surveyor  Supervisi Penanganan Retakan Bendungan Batutegi</t>
  </si>
  <si>
    <t>Muhammad Yudha Utama Amd.T</t>
  </si>
  <si>
    <t>SNVT PJPA MESUJI SEKAMPUNG</t>
  </si>
  <si>
    <t>SATUAN KERJA OPSDA MESUJI SEKAMPUNG</t>
  </si>
  <si>
    <t>Alda Farida</t>
  </si>
  <si>
    <t>1601305702000001</t>
  </si>
  <si>
    <t>Lubuk Banjar, 17 Februari 2000</t>
  </si>
  <si>
    <t>Ketua Tim Administrasi UPI Rarem</t>
  </si>
  <si>
    <t>upi rarem</t>
  </si>
  <si>
    <t>23 Februari 2026</t>
  </si>
  <si>
    <t>20 November 2026</t>
  </si>
  <si>
    <t>Firmansyah</t>
  </si>
  <si>
    <t>1871050307930004</t>
  </si>
  <si>
    <t>Bandar lampung,3 juli 1993</t>
  </si>
  <si>
    <t>Ilmu pertanian</t>
  </si>
  <si>
    <t>Staf Pendukung Teknik UPI Rarem</t>
  </si>
  <si>
    <t>Hasbiul Furqon</t>
  </si>
  <si>
    <t>1801073005880001</t>
  </si>
  <si>
    <t>Lampung 30 Mei 1988</t>
  </si>
  <si>
    <t>D-III</t>
  </si>
  <si>
    <t>Teknologi Pertanian Ps Teknik Sumberdaya Lahan dan Lingkungan</t>
  </si>
  <si>
    <t>Virna Aulia Syafani</t>
  </si>
  <si>
    <t>1803107005980003</t>
  </si>
  <si>
    <t>Kotabumi, 30 Oktober 1998</t>
  </si>
  <si>
    <t>Hairan Nisa S</t>
  </si>
  <si>
    <t>1801046105990006</t>
  </si>
  <si>
    <t>PASAMAN, 21 MEI 1999</t>
  </si>
  <si>
    <t>Muhamad Fikri</t>
  </si>
  <si>
    <t>1871131202970005</t>
  </si>
  <si>
    <t>Bandar Lampung, 12 Februari 1997</t>
  </si>
  <si>
    <t>Teknik Geomatika</t>
  </si>
  <si>
    <t>Rian Sulaeman</t>
  </si>
  <si>
    <t>3278080609860003</t>
  </si>
  <si>
    <t>Tasikmalaya, 6 September 1986</t>
  </si>
  <si>
    <t>SMA</t>
  </si>
  <si>
    <t>Staf Pendukung Administrasi UPI Rarem</t>
  </si>
  <si>
    <t>Putri Mekar Arum</t>
  </si>
  <si>
    <t>1871014111960006</t>
  </si>
  <si>
    <t>Bandar Lampung, 01 November 1996</t>
  </si>
  <si>
    <t>Ketua Tim Administrasi UPI Sekampung</t>
  </si>
  <si>
    <t>upi sekampung</t>
  </si>
  <si>
    <t>Marliyansyah</t>
  </si>
  <si>
    <t xml:space="preserve">
'1871142803960001</t>
  </si>
  <si>
    <t>TATAKARYA, 28 MARET 1996</t>
  </si>
  <si>
    <t>Staf Pendukung Teknik UPI Sekampung</t>
  </si>
  <si>
    <t>Setiadi Ahkam</t>
  </si>
  <si>
    <t>1871011501900011</t>
  </si>
  <si>
    <t>Bandar Lampung, 15 Januari 1990</t>
  </si>
  <si>
    <t>Pertanian</t>
  </si>
  <si>
    <t>Khalila Putri Ralia</t>
  </si>
  <si>
    <t>1871096103030003</t>
  </si>
  <si>
    <t>Bandar Lampung, 21 Maret 2003</t>
  </si>
  <si>
    <t>Aulia Maharani</t>
  </si>
  <si>
    <t>1871076607030003</t>
  </si>
  <si>
    <t>Bandar Lampung, 26 Juli 2003</t>
  </si>
  <si>
    <t>Oscar Lumbantobing</t>
  </si>
  <si>
    <t>1273042307020001</t>
  </si>
  <si>
    <t>Sibolga, 23 Juli 2002</t>
  </si>
  <si>
    <t>Meixy Pratiwi</t>
  </si>
  <si>
    <t>1871017105920002</t>
  </si>
  <si>
    <t>Bandar Lampung, 31 Mei 1992</t>
  </si>
  <si>
    <t>D3</t>
  </si>
  <si>
    <t>KOMPUTERISASI AKUNTANSI</t>
  </si>
  <si>
    <t>Staf Pendukung Administrasi UPI Sekampung</t>
  </si>
  <si>
    <t>Isyara Retcha Munandar</t>
  </si>
  <si>
    <t>1504065403950003</t>
  </si>
  <si>
    <t>JAMBI, 14 MARET 1995</t>
  </si>
  <si>
    <t>Teknik Lingkungan</t>
  </si>
  <si>
    <t>Ketua Tim Administrasi UPI Seputih</t>
  </si>
  <si>
    <t>upi seputih</t>
  </si>
  <si>
    <t>Wisnu Prayuga</t>
  </si>
  <si>
    <t>1807020805960003</t>
  </si>
  <si>
    <t>Karya Tani, 08 mei 1996</t>
  </si>
  <si>
    <t>Staf Pendukung Teknik UPI Seputih</t>
  </si>
  <si>
    <t>Irvan Ardiansyah</t>
  </si>
  <si>
    <t>1802072104980013</t>
  </si>
  <si>
    <t>Bandar Jaya, 21 April 1998</t>
  </si>
  <si>
    <t>Yusa Fathudin</t>
  </si>
  <si>
    <t>1810021607950004</t>
  </si>
  <si>
    <t>TEGALREJO, 16 JULI 1995</t>
  </si>
  <si>
    <t>TEKNIK SURVEY DAN PEMETAAN (SIPIL)</t>
  </si>
  <si>
    <t>Adelia Azzahra Putri Syafani</t>
  </si>
  <si>
    <t>1803106409020003</t>
  </si>
  <si>
    <t>Kotabumi, 24 September 2002</t>
  </si>
  <si>
    <t>Bagus Tri Wibowo</t>
  </si>
  <si>
    <t>1809011303990005</t>
  </si>
  <si>
    <t>Sukaraja, 13 Maret 1999</t>
  </si>
  <si>
    <t>Tampan Fernando Hasugian</t>
  </si>
  <si>
    <t>1201200303880002</t>
  </si>
  <si>
    <t>Hutarea, 3 Maret 1988</t>
  </si>
  <si>
    <t>Teologi</t>
  </si>
  <si>
    <t>Staf Pendukung Administrasi UPI Seputih</t>
  </si>
  <si>
    <t>Laras Kusuma Sari</t>
  </si>
  <si>
    <t>187105630902003</t>
  </si>
  <si>
    <t>B. Lampung, 23 September 2002</t>
  </si>
  <si>
    <t>Komputer</t>
  </si>
  <si>
    <t>Tenaga Pendukung Administrasi</t>
  </si>
  <si>
    <t xml:space="preserve"> 5 Maret 2026</t>
  </si>
  <si>
    <t>31 Desember 2026</t>
  </si>
  <si>
    <t>Anjani Dwita Jayanti</t>
  </si>
  <si>
    <t>187111650102007</t>
  </si>
  <si>
    <t>B. Lampung, 25 Januari 2002</t>
  </si>
  <si>
    <t>Arsitektur</t>
  </si>
  <si>
    <t>Siti Agmaliza</t>
  </si>
  <si>
    <t>1871135005030003</t>
  </si>
  <si>
    <t>Bandar Lampung, 09 Juli 2003</t>
  </si>
  <si>
    <t>Andisa Kurnia mariska</t>
  </si>
  <si>
    <t>1871064504020005</t>
  </si>
  <si>
    <t>Bandar Lampung, 05 April 2002</t>
  </si>
  <si>
    <t>Manajemen infrmatika</t>
  </si>
  <si>
    <t>Adinda Luthfiah Zahra</t>
  </si>
  <si>
    <t>1671084411030002</t>
  </si>
  <si>
    <t>Palembang, 04 November 2003</t>
  </si>
  <si>
    <t>Ilmu Hubungan Internasional</t>
  </si>
  <si>
    <t>Adinda Audina Jasmine</t>
  </si>
  <si>
    <t>1871116608030003</t>
  </si>
  <si>
    <t>Bandar Lampung, 26 Agustus 2003</t>
  </si>
  <si>
    <t>Perencanaan Wilayah dan Kota</t>
  </si>
  <si>
    <t>Garnis Putri Andini</t>
  </si>
  <si>
    <t>1871136309980004</t>
  </si>
  <si>
    <t>Bandar Lampung, 23 September 1998</t>
  </si>
  <si>
    <t>Ekonomi Management</t>
  </si>
  <si>
    <t>Putri Herfi Ramadhani</t>
  </si>
  <si>
    <t>1871045911010001</t>
  </si>
  <si>
    <t>Gedong Tataan, 19 November 2001</t>
  </si>
  <si>
    <t>Muhammad Bagus Nur Alfarieq</t>
  </si>
  <si>
    <t>1871030609030001</t>
  </si>
  <si>
    <t>Bandar Lampung, 06 September 2003</t>
  </si>
  <si>
    <t>Teknik Elektro</t>
  </si>
  <si>
    <t>Yashinta Amelia Dwi Maharani</t>
  </si>
  <si>
    <t>1871126707030003</t>
  </si>
  <si>
    <t>Bandar Lampung, 27 Juli 2003</t>
  </si>
  <si>
    <t>Salma Azizah Putri, S.T</t>
  </si>
  <si>
    <t>1872016412010010</t>
  </si>
  <si>
    <t>Mojokerto, 24 Desember 2001</t>
  </si>
  <si>
    <t>Teknik Pengairan</t>
  </si>
  <si>
    <t>Ahli Muda Teknik Sumber Daya Air</t>
  </si>
  <si>
    <t>Konsultan Individu Penilaian Kinerja dan AKNOP Air Baku Tahun Anggaran 2026</t>
  </si>
  <si>
    <t>Riskan Cahyadi, S.T.</t>
  </si>
  <si>
    <t>1810012503790000</t>
  </si>
  <si>
    <t>Pringsewu, 25 Maret 1979</t>
  </si>
  <si>
    <t>Ahli Madya Teknik SDA</t>
  </si>
  <si>
    <t>Fajar Destri Atmoko, S.T.</t>
  </si>
  <si>
    <t>1871102912940000</t>
  </si>
  <si>
    <t>B. Lampung, 29 Desember 1994</t>
  </si>
  <si>
    <t>Rifki Kukuh Fajar Pangestu, S.T.</t>
  </si>
  <si>
    <t>1807091612000001</t>
  </si>
  <si>
    <t>Rukti Sediyo, 16 Desember 2000</t>
  </si>
  <si>
    <t>Konsultan Individu Penilaian Kinerja dan AKNOP Unit Irigasi Air Tanah Tahun Anggaran 2025</t>
  </si>
  <si>
    <t>Deta Mardiana, S.T.</t>
  </si>
  <si>
    <t>1871015703990010</t>
  </si>
  <si>
    <t>B. Lampung, 17 Maret 1999</t>
  </si>
  <si>
    <t>Konsultan Individu Penilaian Kinerja dan AKNOP Unit Irigasi Air Tanah Tahun Anggaran 2026</t>
  </si>
  <si>
    <t>Andry Abyan Nabila, S.T.</t>
  </si>
  <si>
    <t>1871050612970002</t>
  </si>
  <si>
    <t>Bandar Lampung, 16 Desember 1997</t>
  </si>
  <si>
    <t>Ahli Muda Teknik Sumber Daya Air, Drainase Perkotaan</t>
  </si>
  <si>
    <t>Windy Angga Putra, S.T.</t>
  </si>
  <si>
    <t>1806020610940005</t>
  </si>
  <si>
    <t>Talang Padang, 06 Oktober 1994</t>
  </si>
  <si>
    <t>Nining Wahyuni, S.T.</t>
  </si>
  <si>
    <t>1872034501970003</t>
  </si>
  <si>
    <t>Ganjar Agung, 05 Januari 1997</t>
  </si>
  <si>
    <t>Ahli Muda Perencana Irigasi</t>
  </si>
  <si>
    <t>Konsultan Individu Penilaian Kinerja dan AKNOP Embung Tahun Anggaran 2026</t>
  </si>
  <si>
    <t>Indra Jaya, S.T</t>
  </si>
  <si>
    <t>1871022301860007</t>
  </si>
  <si>
    <t>Bandar Lampung, 23 Januari 1986</t>
  </si>
  <si>
    <t>Ramadhani Artha Rahman, S.T.</t>
  </si>
  <si>
    <t>1806022811010002</t>
  </si>
  <si>
    <t>Talang Padang, 28 November 2001</t>
  </si>
  <si>
    <t>Devrisvansyah Irwan, S.T.</t>
  </si>
  <si>
    <t>1871040804960002</t>
  </si>
  <si>
    <t>Bandar Lampung, 08 April 1996</t>
  </si>
  <si>
    <t>Donni Kristyanto, S.T.</t>
  </si>
  <si>
    <t>1608011401970001</t>
  </si>
  <si>
    <t>Baturaja, 14 Januari 1997</t>
  </si>
  <si>
    <t>Royyan Dian Tama, S.T.</t>
  </si>
  <si>
    <t>1810021605980003</t>
  </si>
  <si>
    <t>Wonosari, 16 Mei 1998</t>
  </si>
  <si>
    <t>Konsultan Individu Penilaian Kinerja dan AKNOP Sungai Tahun Anggaran 2026</t>
  </si>
  <si>
    <t>11 Febuari 2026</t>
  </si>
  <si>
    <t>Pendi Santhoso, S.T.</t>
  </si>
  <si>
    <t>1871012311750002</t>
  </si>
  <si>
    <t>Tanjung Karang, 23 November 1975</t>
  </si>
  <si>
    <t>Ir. Puji Tri Andika, M.T</t>
  </si>
  <si>
    <t>1802072401950003</t>
  </si>
  <si>
    <t>Karang Endah, 24 Januari 1995</t>
  </si>
  <si>
    <t>Tri Jambore Saputra, S.T</t>
  </si>
  <si>
    <t>1871010207770007</t>
  </si>
  <si>
    <t>Tanjung Karang, 02 Juli 1977</t>
  </si>
  <si>
    <t>Ahli Muda Jembatan</t>
  </si>
  <si>
    <t>Konsultan Individu Penilaian Kinerja dan AKNOP Situ Tahun Anggaran 2026</t>
  </si>
  <si>
    <t>Frans Andika, S.T.</t>
  </si>
  <si>
    <t>1803012803870001</t>
  </si>
  <si>
    <t>Kotabumi, 28 Maret 1987</t>
  </si>
  <si>
    <t>M. Yuda cen putra sianipar</t>
  </si>
  <si>
    <t>1810010409980002</t>
  </si>
  <si>
    <t>Pringsewu, 04 September 1998</t>
  </si>
  <si>
    <t>Konsultan Individu Penilaian Kinerja dan AKNOP Bendung Tahun Anggaran 2026</t>
  </si>
  <si>
    <t>Muhamad iqbal fauzi</t>
  </si>
  <si>
    <t>1804081711000001</t>
  </si>
  <si>
    <t>Lampung Barat, 17 November 2000</t>
  </si>
  <si>
    <t>Tessar Rizky Permana Nasution</t>
  </si>
  <si>
    <t>3175051904960005</t>
  </si>
  <si>
    <t>Bandar Lampung, 19 April 1996</t>
  </si>
  <si>
    <t>Ahli Madya Teknik Sumber Daya Air</t>
  </si>
  <si>
    <t>Konsultan Individu Penilaian Kinerja dan AKNOP Sungai Perkotaan Tahun Anggaran 2026</t>
  </si>
  <si>
    <t>Pandu Tri Atmaja</t>
  </si>
  <si>
    <t>1871010209950006</t>
  </si>
  <si>
    <t>Bandar Lampung, 02 September 1995</t>
  </si>
  <si>
    <t>Yuyut wibowo</t>
  </si>
  <si>
    <t>1871011707760009</t>
  </si>
  <si>
    <t>Tanjung Karang, 17 Juli 1976</t>
  </si>
  <si>
    <t>Konsultan Individu Kalibrasi Pintu Air DI Sekampung Sistem Tahun Anggaran 2026</t>
  </si>
  <si>
    <t>Eria Zundi Rahmadani, S.T., M.T</t>
  </si>
  <si>
    <t>1809021201980003</t>
  </si>
  <si>
    <t>Kalirejo, 12 Januari 1998</t>
  </si>
  <si>
    <t>Ahli Muda Teknik Sumber Daya Air
Ahli Muda K3 Konstruksi</t>
  </si>
  <si>
    <t>Mercy Annisa Putri, S.T.</t>
  </si>
  <si>
    <t>1871136510030005</t>
  </si>
  <si>
    <t>Tanjung Karang, 25 Oktober 2003</t>
  </si>
  <si>
    <t>Teknik Geofisika</t>
  </si>
  <si>
    <t>Arrizal umam attamimi, S.T.</t>
  </si>
  <si>
    <t>1871010904960002</t>
  </si>
  <si>
    <t>Teluk Betung, 09 April 1996</t>
  </si>
  <si>
    <t>Teknik Mesin</t>
  </si>
  <si>
    <t>Ahli Muda Manajemen Kontruksi Jenjang 7</t>
  </si>
  <si>
    <t>Antonio roberto taga sikumbang, S.T.</t>
  </si>
  <si>
    <t>Teknik Geodesi</t>
  </si>
  <si>
    <t>Ahli Muda Survey Terestris</t>
  </si>
  <si>
    <t>Sumbodho Imam Santoso</t>
  </si>
  <si>
    <t>1871010102750009</t>
  </si>
  <si>
    <t>Rukti Sedyo, 01 Februari 1975</t>
  </si>
  <si>
    <t>Konsultan Individu SMOPI Tahun Anggaran 2026</t>
  </si>
  <si>
    <t>Tri Heriyanto, S.T.</t>
  </si>
  <si>
    <t>1810080802950001</t>
  </si>
  <si>
    <t>Sukoharjo II, 08 Februari 1995</t>
  </si>
  <si>
    <t>I Gusti Putu Indra Yoga Pratama</t>
  </si>
  <si>
    <t>1802122306990002</t>
  </si>
  <si>
    <t>BANDAR LAMPUNG, 23 JUNI 1999</t>
  </si>
  <si>
    <t>TEKNIK SIPIL</t>
  </si>
  <si>
    <t>Ahli Muda Teknik SDA</t>
  </si>
  <si>
    <t>Konsultan individu SMOPI Tahun Anggaran 2026</t>
  </si>
  <si>
    <t>ARI TRI MURPI, S.T.</t>
  </si>
  <si>
    <t>Bandar Lampung, 03 Maret 1997</t>
  </si>
  <si>
    <t>Konsultan Individu Penilaian Kinerja dan AKNOP Pantai Tahun Anggaran 2026</t>
  </si>
  <si>
    <t>AIZET WIRAYUDA, S.T.</t>
  </si>
  <si>
    <t>1802073006980004</t>
  </si>
  <si>
    <t>Indra Putra Subing, 30 Juni 1998</t>
  </si>
  <si>
    <t>DIDIK HANDOKO, S.T.</t>
  </si>
  <si>
    <t>1802083103900003</t>
  </si>
  <si>
    <t>Rukti Harjo, 31 Maret 1990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</si>
</sst>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p&quot;#,##0.00;[Red]\-&quot;Rp&quot;#,##0.00"/>
    <numFmt numFmtId="164" formatCode="_-* #,##0_-;\-* #,##0_-;_-* &quot;-&quot;??_-;_-@_-"/>
  </numFmts>
  <fonts count="19">
    <font>
      <sz val="11"/>
      <color theme="1"/>
      <name val="Calibri"/>
      <family val="2"/>
      <scheme val="minor"/>
    </font>
    <font>
      <sz val="12"/>
      <color rgb="FF000000"/>
      <name val="Arial"/>
      <family val="2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Arial"/>
      <family val="2"/>
    </font>
    <font>
      <sz val="12"/>
      <color theme="1"/>
      <name val="Calibri Light"/>
      <family val="2"/>
      <scheme val="maj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i/>
      <sz val="12"/>
      <color rgb="FF000000"/>
      <name val="Arial"/>
      <family val="2"/>
    </font>
    <font>
      <sz val="12"/>
      <color rgb="FF000000"/>
      <name val="Arial"/>
    </font>
    <font>
      <sz val="11"/>
      <color rgb="FF000000"/>
      <name val="Arial"/>
    </font>
    <font>
      <sz val="10"/>
      <color rgb="FF434343"/>
      <name val="Roboto"/>
      <charset val="1"/>
    </font>
    <font>
      <sz val="11"/>
      <color theme="1"/>
      <name val="Arial"/>
    </font>
    <font>
      <sz val="12"/>
      <color theme="1"/>
      <name val="Arial"/>
    </font>
    <font>
      <sz val="12"/>
      <color theme="1"/>
      <name val="Arial"/>
      <charset val="1"/>
    </font>
    <font>
      <sz val="12"/>
      <color rgb="FF434343"/>
      <name val="Arial"/>
      <charset val="1"/>
    </font>
    <font>
      <sz val="11"/>
      <color theme="1"/>
      <name val="Calibri"/>
      <charset val="1"/>
    </font>
    <font>
      <sz val="12"/>
      <color theme="1"/>
      <name val="Calibri"/>
      <charset val="1"/>
    </font>
    <font>
      <sz val="11"/>
      <color theme="1"/>
      <name val="aria"/>
    </font>
  </fonts>
  <fills count="7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F8F9FA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0" borderId="3" xfId="0" quotePrefix="1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4" xfId="0" applyFont="1" applyBorder="1" applyAlignment="1">
      <alignment vertical="center"/>
    </xf>
    <xf numFmtId="0" fontId="5" fillId="0" borderId="5" xfId="0" applyFont="1" applyBorder="1" applyAlignment="1">
      <alignment horizontal="left" vertical="center"/>
    </xf>
    <xf numFmtId="0" fontId="0" fillId="0" borderId="3" xfId="0" applyBorder="1"/>
    <xf numFmtId="0" fontId="8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9" fillId="0" borderId="2" xfId="0" quotePrefix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9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0" fillId="0" borderId="0" xfId="0" applyAlignment="1">
      <alignment horizontal="left" vertical="center" wrapText="1"/>
    </xf>
    <xf numFmtId="0" fontId="10" fillId="0" borderId="11" xfId="0" applyFont="1" applyBorder="1" applyAlignment="1">
      <alignment horizontal="left" vertical="center" wrapText="1"/>
    </xf>
    <xf numFmtId="0" fontId="10" fillId="0" borderId="11" xfId="0" quotePrefix="1" applyFont="1" applyBorder="1" applyAlignment="1">
      <alignment horizontal="left" vertical="center" wrapText="1"/>
    </xf>
    <xf numFmtId="0" fontId="12" fillId="0" borderId="3" xfId="0" applyFont="1" applyBorder="1" applyAlignment="1">
      <alignment vertical="center"/>
    </xf>
    <xf numFmtId="0" fontId="10" fillId="0" borderId="2" xfId="0" applyFont="1" applyBorder="1" applyAlignment="1">
      <alignment horizontal="center" vertical="center"/>
    </xf>
    <xf numFmtId="0" fontId="10" fillId="0" borderId="2" xfId="0" quotePrefix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/>
    </xf>
    <xf numFmtId="0" fontId="10" fillId="0" borderId="1" xfId="0" quotePrefix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2" fillId="0" borderId="3" xfId="0" applyFont="1" applyBorder="1" applyAlignment="1">
      <alignment vertical="center" wrapText="1"/>
    </xf>
    <xf numFmtId="164" fontId="12" fillId="0" borderId="3" xfId="0" applyNumberFormat="1" applyFont="1" applyBorder="1" applyAlignment="1">
      <alignment vertical="center"/>
    </xf>
    <xf numFmtId="164" fontId="10" fillId="0" borderId="11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10" fillId="0" borderId="1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0" fillId="0" borderId="4" xfId="0" applyFont="1" applyBorder="1" applyAlignment="1">
      <alignment horizontal="center" vertical="center"/>
    </xf>
    <xf numFmtId="15" fontId="10" fillId="0" borderId="11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2" fillId="0" borderId="2" xfId="0" applyFont="1" applyBorder="1" applyAlignment="1">
      <alignment vertical="center" wrapText="1"/>
    </xf>
    <xf numFmtId="15" fontId="10" fillId="0" borderId="2" xfId="0" applyNumberFormat="1" applyFont="1" applyBorder="1" applyAlignment="1">
      <alignment horizontal="center" vertical="center" wrapText="1"/>
    </xf>
    <xf numFmtId="0" fontId="12" fillId="0" borderId="2" xfId="0" applyFont="1" applyBorder="1" applyAlignment="1">
      <alignment vertical="center"/>
    </xf>
    <xf numFmtId="164" fontId="12" fillId="0" borderId="2" xfId="0" applyNumberFormat="1" applyFont="1" applyBorder="1" applyAlignment="1">
      <alignment vertic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4" fillId="0" borderId="1" xfId="0" applyFont="1" applyBorder="1" applyAlignment="1">
      <alignment vertical="center"/>
    </xf>
    <xf numFmtId="0" fontId="10" fillId="0" borderId="13" xfId="0" applyFont="1" applyBorder="1" applyAlignment="1">
      <alignment horizontal="center" vertical="center"/>
    </xf>
    <xf numFmtId="15" fontId="10" fillId="0" borderId="14" xfId="0" applyNumberFormat="1" applyFont="1" applyBorder="1" applyAlignment="1">
      <alignment horizontal="center" vertical="center" wrapText="1"/>
    </xf>
    <xf numFmtId="0" fontId="12" fillId="0" borderId="7" xfId="0" applyFont="1" applyBorder="1" applyAlignment="1">
      <alignment vertical="center"/>
    </xf>
    <xf numFmtId="0" fontId="12" fillId="0" borderId="7" xfId="0" applyFont="1" applyBorder="1" applyAlignment="1">
      <alignment vertical="center" wrapText="1"/>
    </xf>
    <xf numFmtId="0" fontId="10" fillId="0" borderId="4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4" xfId="0" applyFont="1" applyBorder="1" applyAlignment="1">
      <alignment vertical="center"/>
    </xf>
    <xf numFmtId="0" fontId="9" fillId="0" borderId="1" xfId="0" quotePrefix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" fillId="0" borderId="2" xfId="0" applyFont="1" applyBorder="1" applyAlignment="1">
      <alignment vertical="center" wrapText="1"/>
    </xf>
    <xf numFmtId="0" fontId="1" fillId="0" borderId="2" xfId="0" quotePrefix="1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4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15" fontId="0" fillId="0" borderId="3" xfId="0" applyNumberFormat="1" applyBorder="1" applyAlignment="1">
      <alignment vertical="center" wrapText="1"/>
    </xf>
    <xf numFmtId="8" fontId="0" fillId="0" borderId="3" xfId="0" applyNumberFormat="1" applyBorder="1" applyAlignment="1">
      <alignment vertical="center" wrapText="1"/>
    </xf>
    <xf numFmtId="0" fontId="0" fillId="0" borderId="0" xfId="0" applyAlignment="1">
      <alignment vertical="center" wrapText="1"/>
    </xf>
    <xf numFmtId="0" fontId="11" fillId="4" borderId="2" xfId="0" applyFont="1" applyFill="1" applyBorder="1" applyAlignment="1">
      <alignment horizontal="center" readingOrder="1"/>
    </xf>
    <xf numFmtId="0" fontId="9" fillId="0" borderId="12" xfId="0" applyFont="1" applyBorder="1" applyAlignment="1">
      <alignment horizontal="center" vertical="center"/>
    </xf>
    <xf numFmtId="0" fontId="0" fillId="0" borderId="4" xfId="0" applyBorder="1"/>
    <xf numFmtId="0" fontId="5" fillId="0" borderId="0" xfId="0" applyFont="1" applyAlignment="1">
      <alignment horizontal="left" vertical="center"/>
    </xf>
    <xf numFmtId="0" fontId="1" fillId="0" borderId="5" xfId="0" applyFont="1" applyBorder="1" applyAlignment="1">
      <alignment vertical="center"/>
    </xf>
    <xf numFmtId="0" fontId="15" fillId="5" borderId="15" xfId="0" applyFont="1" applyFill="1" applyBorder="1" applyAlignment="1">
      <alignment wrapText="1" readingOrder="1"/>
    </xf>
    <xf numFmtId="0" fontId="14" fillId="0" borderId="15" xfId="0" applyFont="1" applyBorder="1" applyAlignment="1">
      <alignment readingOrder="1"/>
    </xf>
    <xf numFmtId="0" fontId="14" fillId="0" borderId="15" xfId="0" applyFont="1" applyBorder="1" applyAlignment="1">
      <alignment wrapText="1" readingOrder="1"/>
    </xf>
    <xf numFmtId="0" fontId="16" fillId="0" borderId="15" xfId="0" applyFont="1" applyBorder="1" applyAlignment="1">
      <alignment readingOrder="1"/>
    </xf>
    <xf numFmtId="15" fontId="14" fillId="0" borderId="15" xfId="0" applyNumberFormat="1" applyFont="1" applyBorder="1" applyAlignment="1">
      <alignment readingOrder="1"/>
    </xf>
    <xf numFmtId="0" fontId="15" fillId="4" borderId="17" xfId="0" applyFont="1" applyFill="1" applyBorder="1" applyAlignment="1">
      <alignment wrapText="1" readingOrder="1"/>
    </xf>
    <xf numFmtId="0" fontId="14" fillId="0" borderId="17" xfId="0" applyFont="1" applyBorder="1" applyAlignment="1">
      <alignment readingOrder="1"/>
    </xf>
    <xf numFmtId="0" fontId="16" fillId="0" borderId="17" xfId="0" applyFont="1" applyBorder="1" applyAlignment="1">
      <alignment readingOrder="1"/>
    </xf>
    <xf numFmtId="15" fontId="14" fillId="0" borderId="17" xfId="0" applyNumberFormat="1" applyFont="1" applyBorder="1" applyAlignment="1">
      <alignment readingOrder="1"/>
    </xf>
    <xf numFmtId="0" fontId="15" fillId="5" borderId="17" xfId="0" applyFont="1" applyFill="1" applyBorder="1" applyAlignment="1">
      <alignment wrapText="1" readingOrder="1"/>
    </xf>
    <xf numFmtId="0" fontId="14" fillId="0" borderId="17" xfId="0" applyFont="1" applyBorder="1" applyAlignment="1">
      <alignment wrapText="1" readingOrder="1"/>
    </xf>
    <xf numFmtId="0" fontId="17" fillId="0" borderId="17" xfId="0" applyFont="1" applyBorder="1" applyAlignment="1">
      <alignment wrapText="1" readingOrder="1"/>
    </xf>
    <xf numFmtId="15" fontId="17" fillId="0" borderId="17" xfId="0" applyNumberFormat="1" applyFont="1" applyBorder="1" applyAlignment="1">
      <alignment wrapText="1" readingOrder="1"/>
    </xf>
    <xf numFmtId="2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vertical="center"/>
    </xf>
    <xf numFmtId="2" fontId="8" fillId="0" borderId="6" xfId="0" applyNumberFormat="1" applyFont="1" applyBorder="1" applyAlignment="1">
      <alignment horizontal="center" vertical="center"/>
    </xf>
    <xf numFmtId="2" fontId="1" fillId="0" borderId="2" xfId="0" quotePrefix="1" applyNumberFormat="1" applyFont="1" applyBorder="1" applyAlignment="1">
      <alignment horizontal="center" vertical="center"/>
    </xf>
    <xf numFmtId="2" fontId="9" fillId="0" borderId="2" xfId="0" quotePrefix="1" applyNumberFormat="1" applyFont="1" applyBorder="1" applyAlignment="1">
      <alignment horizontal="center" vertical="center"/>
    </xf>
    <xf numFmtId="2" fontId="9" fillId="0" borderId="1" xfId="0" quotePrefix="1" applyNumberFormat="1" applyFont="1" applyBorder="1" applyAlignment="1">
      <alignment horizontal="center" vertical="center"/>
    </xf>
    <xf numFmtId="2" fontId="13" fillId="0" borderId="2" xfId="0" quotePrefix="1" applyNumberFormat="1" applyFont="1" applyBorder="1" applyAlignment="1">
      <alignment horizontal="center"/>
    </xf>
    <xf numFmtId="2" fontId="0" fillId="0" borderId="0" xfId="0" applyNumberFormat="1"/>
    <xf numFmtId="0" fontId="17" fillId="0" borderId="16" xfId="0" applyFont="1" applyBorder="1" applyAlignment="1">
      <alignment wrapText="1" readingOrder="1"/>
    </xf>
    <xf numFmtId="0" fontId="14" fillId="0" borderId="2" xfId="0" quotePrefix="1" applyFont="1" applyBorder="1" applyAlignment="1">
      <alignment readingOrder="1"/>
    </xf>
    <xf numFmtId="0" fontId="14" fillId="0" borderId="16" xfId="0" quotePrefix="1" applyFont="1" applyBorder="1" applyAlignment="1">
      <alignment readingOrder="1"/>
    </xf>
    <xf numFmtId="0" fontId="14" fillId="6" borderId="16" xfId="0" quotePrefix="1" applyFont="1" applyFill="1" applyBorder="1" applyAlignment="1">
      <alignment readingOrder="1"/>
    </xf>
    <xf numFmtId="0" fontId="17" fillId="0" borderId="16" xfId="0" quotePrefix="1" applyFont="1" applyBorder="1" applyAlignment="1">
      <alignment wrapText="1" readingOrder="1"/>
    </xf>
    <xf numFmtId="0" fontId="16" fillId="0" borderId="16" xfId="0" quotePrefix="1" applyFont="1" applyBorder="1" applyAlignment="1">
      <alignment readingOrder="1"/>
    </xf>
    <xf numFmtId="0" fontId="18" fillId="0" borderId="17" xfId="0" applyFont="1" applyBorder="1" applyAlignment="1">
      <alignment readingOrder="1"/>
    </xf>
    <xf numFmtId="0" fontId="13" fillId="0" borderId="16" xfId="0" quotePrefix="1" applyFont="1" applyBorder="1" applyAlignment="1">
      <alignment readingOrder="1"/>
    </xf>
    <xf numFmtId="0" fontId="13" fillId="0" borderId="17" xfId="0" applyFont="1" applyBorder="1" applyAlignment="1">
      <alignment readingOrder="1"/>
    </xf>
    <xf numFmtId="0" fontId="1" fillId="0" borderId="0" xfId="0" quotePrefix="1" applyFont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2" fontId="3" fillId="2" borderId="3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wrapText="1"/>
    </xf>
    <xf numFmtId="0" fontId="6" fillId="3" borderId="8" xfId="0" applyFont="1" applyFill="1" applyBorder="1" applyAlignment="1">
      <alignment horizontal="center" wrapText="1"/>
    </xf>
    <xf numFmtId="0" fontId="6" fillId="3" borderId="9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662214</xdr:colOff>
      <xdr:row>0</xdr:row>
      <xdr:rowOff>63500</xdr:rowOff>
    </xdr:from>
    <xdr:to>
      <xdr:col>13</xdr:col>
      <xdr:colOff>1061357</xdr:colOff>
      <xdr:row>4</xdr:row>
      <xdr:rowOff>127000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E8E4C1B-F224-442B-8F60-68386EB2427C}"/>
            </a:ext>
          </a:extLst>
        </xdr:cNvPr>
        <xdr:cNvSpPr txBox="1"/>
      </xdr:nvSpPr>
      <xdr:spPr>
        <a:xfrm>
          <a:off x="9850664" y="63500"/>
          <a:ext cx="4196443" cy="8509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100" b="1" i="0" u="sng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Lampiran Memorandum  Kepala BBWS Mesuji Sekampung</a:t>
          </a:r>
          <a:r>
            <a:rPr lang="en-ID"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  <a:p>
          <a:r>
            <a:rPr lang="en-ID" sz="11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Nomor          :</a:t>
          </a:r>
          <a:endParaRPr lang="en-ID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D" sz="11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Tanggal        : Februari</a:t>
          </a:r>
          <a:r>
            <a:rPr lang="en-ID" sz="1100" b="0" i="0" u="none" strike="noStrike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n-ID" sz="11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2026</a:t>
          </a:r>
          <a:r>
            <a:rPr lang="en-ID"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  <a:p>
          <a:endParaRPr lang="en-ID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662214</xdr:colOff>
      <xdr:row>0</xdr:row>
      <xdr:rowOff>63500</xdr:rowOff>
    </xdr:from>
    <xdr:to>
      <xdr:col>13</xdr:col>
      <xdr:colOff>1061357</xdr:colOff>
      <xdr:row>4</xdr:row>
      <xdr:rowOff>127000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56F5047-FDE5-4342-9308-9946E6B79F32}"/>
            </a:ext>
          </a:extLst>
        </xdr:cNvPr>
        <xdr:cNvSpPr txBox="1"/>
      </xdr:nvSpPr>
      <xdr:spPr>
        <a:xfrm>
          <a:off x="9850664" y="63500"/>
          <a:ext cx="4196443" cy="8509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100" b="1" i="0" u="sng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Lampiran Memorandum  Kepala BBWS Mesuji Sekampung</a:t>
          </a:r>
          <a:r>
            <a:rPr lang="en-ID"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  <a:p>
          <a:r>
            <a:rPr lang="en-ID" sz="11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Nomor          :</a:t>
          </a:r>
          <a:endParaRPr lang="en-ID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D" sz="11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Tanggal        : Februari</a:t>
          </a:r>
          <a:r>
            <a:rPr lang="en-ID" sz="1100" b="0" i="0" u="none" strike="noStrike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n-ID" sz="11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2026</a:t>
          </a:r>
          <a:r>
            <a:rPr lang="en-ID"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  <a:p>
          <a:endParaRPr lang="en-ID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662214</xdr:colOff>
      <xdr:row>0</xdr:row>
      <xdr:rowOff>63500</xdr:rowOff>
    </xdr:from>
    <xdr:to>
      <xdr:col>13</xdr:col>
      <xdr:colOff>1061357</xdr:colOff>
      <xdr:row>4</xdr:row>
      <xdr:rowOff>127000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7D38CA2-E906-4355-98AB-2D79D2F89FC9}"/>
            </a:ext>
          </a:extLst>
        </xdr:cNvPr>
        <xdr:cNvSpPr txBox="1"/>
      </xdr:nvSpPr>
      <xdr:spPr>
        <a:xfrm>
          <a:off x="9850664" y="63500"/>
          <a:ext cx="4196443" cy="8509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100" b="1" i="0" u="sng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Lampiran Memorandum  Kepala BBWS Mesuji Sekampung</a:t>
          </a:r>
          <a:r>
            <a:rPr lang="en-ID"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  <a:p>
          <a:r>
            <a:rPr lang="en-ID" sz="11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Nomor          :</a:t>
          </a:r>
          <a:endParaRPr lang="en-ID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D" sz="11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Tanggal        : Februari</a:t>
          </a:r>
          <a:r>
            <a:rPr lang="en-ID" sz="1100" b="0" i="0" u="none" strike="noStrike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n-ID" sz="11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2026</a:t>
          </a:r>
          <a:r>
            <a:rPr lang="en-ID"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  <a:p>
          <a:endParaRPr lang="en-ID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662214</xdr:colOff>
      <xdr:row>0</xdr:row>
      <xdr:rowOff>63500</xdr:rowOff>
    </xdr:from>
    <xdr:to>
      <xdr:col>13</xdr:col>
      <xdr:colOff>1061357</xdr:colOff>
      <xdr:row>4</xdr:row>
      <xdr:rowOff>127000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4442114-DC0E-48CA-AB20-1B0E676DF33B}"/>
            </a:ext>
          </a:extLst>
        </xdr:cNvPr>
        <xdr:cNvSpPr txBox="1"/>
      </xdr:nvSpPr>
      <xdr:spPr>
        <a:xfrm>
          <a:off x="9850664" y="63500"/>
          <a:ext cx="4196443" cy="8509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100" b="1" i="0" u="sng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Lampiran Memorandum  Kepala BBWS Mesuji Sekampung</a:t>
          </a:r>
          <a:r>
            <a:rPr lang="en-ID"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  <a:p>
          <a:r>
            <a:rPr lang="en-ID" sz="11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Nomor          :</a:t>
          </a:r>
          <a:endParaRPr lang="en-ID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D" sz="11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Tanggal        : Februari</a:t>
          </a:r>
          <a:r>
            <a:rPr lang="en-ID" sz="1100" b="0" i="0" u="none" strike="noStrike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n-ID" sz="11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2026</a:t>
          </a:r>
          <a:r>
            <a:rPr lang="en-ID"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  <a:p>
          <a:endParaRPr lang="en-ID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662214</xdr:colOff>
      <xdr:row>0</xdr:row>
      <xdr:rowOff>63500</xdr:rowOff>
    </xdr:from>
    <xdr:to>
      <xdr:col>13</xdr:col>
      <xdr:colOff>1061357</xdr:colOff>
      <xdr:row>4</xdr:row>
      <xdr:rowOff>127000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8CE2495-0018-4E2E-AA05-8512277D2F45}"/>
            </a:ext>
          </a:extLst>
        </xdr:cNvPr>
        <xdr:cNvSpPr txBox="1"/>
      </xdr:nvSpPr>
      <xdr:spPr>
        <a:xfrm>
          <a:off x="9850664" y="63500"/>
          <a:ext cx="4196443" cy="8509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100" b="1" i="0" u="sng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Lampiran Memorandum  Kepala BBWS Mesuji Sekampung</a:t>
          </a:r>
          <a:r>
            <a:rPr lang="en-ID"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  <a:p>
          <a:r>
            <a:rPr lang="en-ID" sz="11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Nomor          :</a:t>
          </a:r>
          <a:endParaRPr lang="en-ID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D" sz="11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Tanggal        : Februari</a:t>
          </a:r>
          <a:r>
            <a:rPr lang="en-ID" sz="1100" b="0" i="0" u="none" strike="noStrike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n-ID" sz="11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2026</a:t>
          </a:r>
          <a:r>
            <a:rPr lang="en-ID"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  <a:p>
          <a:endParaRPr lang="en-ID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B42A2-01EF-4CA2-A4E4-81E644690482}">
  <dimension ref="A1:N20"/>
  <sheetViews>
    <sheetView topLeftCell="A14" zoomScale="70" zoomScaleNormal="70" workbookViewId="0">
      <selection activeCell="C20" sqref="C20"/>
    </sheetView>
  </sheetViews>
  <sheetFormatPr defaultRowHeight="15"/>
  <cols>
    <col min="1" max="1" width="4" style="43" bestFit="1" customWidth="1"/>
    <col min="2" max="2" width="33.42578125" customWidth="1"/>
    <col min="3" max="3" width="22.5703125" bestFit="1" customWidth="1"/>
    <col min="4" max="4" width="36.5703125" customWidth="1"/>
    <col min="5" max="5" width="16.42578125" style="43" customWidth="1"/>
    <col min="6" max="6" width="16.42578125" customWidth="1"/>
    <col min="7" max="7" width="19.28515625" customWidth="1"/>
    <col min="8" max="8" width="18.5703125" customWidth="1"/>
    <col min="9" max="9" width="49.42578125" customWidth="1"/>
    <col min="10" max="10" width="11.42578125" style="43" bestFit="1" customWidth="1"/>
    <col min="11" max="11" width="11.140625" style="43" bestFit="1" customWidth="1"/>
    <col min="12" max="12" width="9.7109375" bestFit="1" customWidth="1"/>
    <col min="13" max="13" width="26.7109375" customWidth="1"/>
    <col min="14" max="14" width="15.5703125" customWidth="1"/>
  </cols>
  <sheetData>
    <row r="1" spans="1:14">
      <c r="A1" s="1"/>
      <c r="B1" s="2"/>
      <c r="C1" s="1"/>
      <c r="D1" s="1"/>
      <c r="E1" s="41"/>
      <c r="F1" s="1"/>
      <c r="G1" s="12"/>
    </row>
    <row r="2" spans="1:14">
      <c r="A2" s="1"/>
      <c r="B2" s="2"/>
      <c r="C2" s="2"/>
      <c r="D2" s="1"/>
      <c r="E2" s="1"/>
      <c r="F2" s="1"/>
      <c r="G2" s="13"/>
    </row>
    <row r="3" spans="1:14">
      <c r="A3" s="1"/>
      <c r="B3" s="2"/>
      <c r="C3" s="1"/>
      <c r="D3" s="1"/>
      <c r="E3" s="1"/>
      <c r="F3" s="1"/>
      <c r="G3" s="13"/>
    </row>
    <row r="4" spans="1:14">
      <c r="A4" s="134" t="s">
        <v>0</v>
      </c>
      <c r="B4" s="134"/>
      <c r="C4" s="134"/>
      <c r="D4" s="134"/>
      <c r="E4" s="1"/>
      <c r="F4" s="1"/>
      <c r="G4" s="2"/>
    </row>
    <row r="5" spans="1:14">
      <c r="A5" s="116" t="s">
        <v>1</v>
      </c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</row>
    <row r="6" spans="1:14">
      <c r="A6" s="116" t="s">
        <v>2</v>
      </c>
      <c r="B6" s="116"/>
      <c r="C6" s="116"/>
      <c r="D6" s="116"/>
      <c r="E6" s="116"/>
      <c r="F6" s="116"/>
      <c r="G6" s="116"/>
      <c r="H6" s="116"/>
      <c r="I6" s="116"/>
      <c r="J6" s="116"/>
      <c r="K6" s="116"/>
      <c r="L6" s="116"/>
      <c r="M6" s="116"/>
      <c r="N6" s="116"/>
    </row>
    <row r="7" spans="1:14">
      <c r="A7" s="116" t="s">
        <v>3</v>
      </c>
      <c r="B7" s="116"/>
      <c r="C7" s="116"/>
      <c r="D7" s="116"/>
      <c r="E7" s="116"/>
      <c r="F7" s="116"/>
      <c r="G7" s="116"/>
      <c r="H7" s="116"/>
      <c r="I7" s="116"/>
      <c r="J7" s="116"/>
      <c r="K7" s="116"/>
      <c r="L7" s="116"/>
      <c r="M7" s="116"/>
      <c r="N7" s="116"/>
    </row>
    <row r="8" spans="1:14">
      <c r="A8" s="116" t="s">
        <v>4</v>
      </c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</row>
    <row r="9" spans="1:14">
      <c r="A9" s="114"/>
      <c r="B9" s="115"/>
      <c r="C9" s="115"/>
      <c r="D9" s="115"/>
      <c r="E9" s="115"/>
      <c r="F9" s="115"/>
      <c r="G9" s="115"/>
    </row>
    <row r="10" spans="1:14" ht="21" customHeight="1">
      <c r="A10" s="117" t="s">
        <v>5</v>
      </c>
      <c r="B10" s="117" t="s">
        <v>6</v>
      </c>
      <c r="C10" s="117" t="s">
        <v>7</v>
      </c>
      <c r="D10" s="119" t="s">
        <v>8</v>
      </c>
      <c r="E10" s="117" t="s">
        <v>9</v>
      </c>
      <c r="F10" s="117"/>
      <c r="G10" s="117"/>
      <c r="H10" s="131" t="s">
        <v>10</v>
      </c>
      <c r="I10" s="120" t="s">
        <v>11</v>
      </c>
      <c r="J10" s="123" t="s">
        <v>12</v>
      </c>
      <c r="K10" s="124"/>
      <c r="L10" s="125"/>
      <c r="M10" s="120" t="s">
        <v>13</v>
      </c>
      <c r="N10" s="126" t="s">
        <v>14</v>
      </c>
    </row>
    <row r="11" spans="1:14" ht="15.6" customHeight="1">
      <c r="A11" s="117"/>
      <c r="B11" s="117"/>
      <c r="C11" s="117"/>
      <c r="D11" s="119"/>
      <c r="E11" s="117" t="s">
        <v>15</v>
      </c>
      <c r="F11" s="117" t="s">
        <v>16</v>
      </c>
      <c r="G11" s="117" t="s">
        <v>17</v>
      </c>
      <c r="H11" s="132"/>
      <c r="I11" s="121"/>
      <c r="J11" s="129" t="s">
        <v>18</v>
      </c>
      <c r="K11" s="129" t="s">
        <v>19</v>
      </c>
      <c r="L11" s="129" t="s">
        <v>20</v>
      </c>
      <c r="M11" s="121"/>
      <c r="N11" s="127"/>
    </row>
    <row r="12" spans="1:14" ht="8.4499999999999993" customHeight="1">
      <c r="A12" s="117"/>
      <c r="B12" s="117"/>
      <c r="C12" s="117"/>
      <c r="D12" s="119"/>
      <c r="E12" s="117"/>
      <c r="F12" s="117"/>
      <c r="G12" s="117"/>
      <c r="H12" s="133"/>
      <c r="I12" s="122"/>
      <c r="J12" s="130"/>
      <c r="K12" s="130"/>
      <c r="L12" s="130"/>
      <c r="M12" s="122"/>
      <c r="N12" s="128"/>
    </row>
    <row r="13" spans="1:14">
      <c r="A13" s="20">
        <v>1</v>
      </c>
      <c r="B13" s="20">
        <v>2</v>
      </c>
      <c r="C13" s="20">
        <v>3</v>
      </c>
      <c r="D13" s="20">
        <v>4</v>
      </c>
      <c r="E13" s="20">
        <v>5</v>
      </c>
      <c r="F13" s="20">
        <v>6</v>
      </c>
      <c r="G13" s="20">
        <v>7</v>
      </c>
      <c r="H13" s="20">
        <v>8</v>
      </c>
      <c r="I13" s="20">
        <v>9</v>
      </c>
      <c r="J13" s="20">
        <v>10</v>
      </c>
      <c r="K13" s="20">
        <v>11</v>
      </c>
      <c r="L13" s="20">
        <v>12</v>
      </c>
      <c r="M13" s="20">
        <v>13</v>
      </c>
      <c r="N13" s="20">
        <v>14</v>
      </c>
    </row>
    <row r="14" spans="1:14" s="28" customFormat="1" ht="231">
      <c r="A14" s="46">
        <v>1</v>
      </c>
      <c r="B14" s="29" t="s">
        <v>21</v>
      </c>
      <c r="C14" s="30" t="s">
        <v>22</v>
      </c>
      <c r="D14" s="29" t="s">
        <v>23</v>
      </c>
      <c r="E14" s="42" t="s">
        <v>24</v>
      </c>
      <c r="F14" s="29" t="s">
        <v>25</v>
      </c>
      <c r="G14" s="42" t="s">
        <v>26</v>
      </c>
      <c r="H14" s="42" t="s">
        <v>27</v>
      </c>
      <c r="I14" s="30" t="s">
        <v>28</v>
      </c>
      <c r="J14" s="45">
        <v>46073</v>
      </c>
      <c r="K14" s="45">
        <v>46252</v>
      </c>
      <c r="L14" s="29" t="s">
        <v>29</v>
      </c>
      <c r="M14" s="29" t="s">
        <v>30</v>
      </c>
      <c r="N14" s="40">
        <v>15600000</v>
      </c>
    </row>
    <row r="15" spans="1:14" s="3" customFormat="1" ht="78.75" customHeight="1">
      <c r="A15" s="32">
        <v>2</v>
      </c>
      <c r="B15" s="35" t="s">
        <v>31</v>
      </c>
      <c r="C15" s="36" t="s">
        <v>32</v>
      </c>
      <c r="D15" s="22" t="s">
        <v>33</v>
      </c>
      <c r="E15" s="37" t="s">
        <v>24</v>
      </c>
      <c r="F15" s="37" t="s">
        <v>25</v>
      </c>
      <c r="G15" s="58" t="s">
        <v>34</v>
      </c>
      <c r="H15" s="59" t="s">
        <v>35</v>
      </c>
      <c r="I15" s="38" t="s">
        <v>36</v>
      </c>
      <c r="J15" s="45">
        <v>46073</v>
      </c>
      <c r="K15" s="45">
        <v>46253</v>
      </c>
      <c r="L15" s="31" t="s">
        <v>29</v>
      </c>
      <c r="M15" s="38" t="s">
        <v>37</v>
      </c>
      <c r="N15" s="39">
        <f>78840000/6</f>
        <v>13140000</v>
      </c>
    </row>
    <row r="16" spans="1:14" ht="43.5">
      <c r="A16" s="46">
        <v>3</v>
      </c>
      <c r="B16" s="35" t="s">
        <v>38</v>
      </c>
      <c r="C16" s="36" t="s">
        <v>39</v>
      </c>
      <c r="D16" s="14" t="s">
        <v>40</v>
      </c>
      <c r="E16" s="37" t="s">
        <v>24</v>
      </c>
      <c r="F16" s="37" t="s">
        <v>25</v>
      </c>
      <c r="G16" s="44" t="s">
        <v>41</v>
      </c>
      <c r="H16" s="58" t="s">
        <v>42</v>
      </c>
      <c r="I16" s="47" t="s">
        <v>43</v>
      </c>
      <c r="J16" s="45">
        <v>46073</v>
      </c>
      <c r="K16" s="45">
        <v>46282</v>
      </c>
      <c r="L16" s="31" t="s">
        <v>29</v>
      </c>
      <c r="M16" s="38" t="s">
        <v>44</v>
      </c>
      <c r="N16" s="39">
        <f>27300000/7</f>
        <v>3900000</v>
      </c>
    </row>
    <row r="17" spans="1:14" ht="43.5">
      <c r="A17" s="37">
        <v>4</v>
      </c>
      <c r="B17" s="35" t="s">
        <v>45</v>
      </c>
      <c r="C17" s="33" t="s">
        <v>46</v>
      </c>
      <c r="D17" s="53" t="s">
        <v>47</v>
      </c>
      <c r="E17" s="37" t="s">
        <v>24</v>
      </c>
      <c r="F17" s="37" t="s">
        <v>25</v>
      </c>
      <c r="G17" s="54" t="s">
        <v>41</v>
      </c>
      <c r="H17" s="60" t="s">
        <v>42</v>
      </c>
      <c r="I17" s="47" t="s">
        <v>43</v>
      </c>
      <c r="J17" s="55">
        <v>46073</v>
      </c>
      <c r="K17" s="45">
        <v>46282</v>
      </c>
      <c r="L17" s="56" t="s">
        <v>29</v>
      </c>
      <c r="M17" s="57" t="s">
        <v>48</v>
      </c>
      <c r="N17" s="39">
        <f>27300000/7</f>
        <v>3900000</v>
      </c>
    </row>
    <row r="18" spans="1:14" ht="72">
      <c r="A18" s="34">
        <v>5</v>
      </c>
      <c r="B18" s="22" t="s">
        <v>49</v>
      </c>
      <c r="C18" s="33" t="s">
        <v>50</v>
      </c>
      <c r="D18" s="14" t="s">
        <v>51</v>
      </c>
      <c r="E18" s="37" t="s">
        <v>24</v>
      </c>
      <c r="F18" s="32" t="s">
        <v>25</v>
      </c>
      <c r="G18" s="34" t="s">
        <v>52</v>
      </c>
      <c r="H18" s="61" t="s">
        <v>35</v>
      </c>
      <c r="I18" s="47" t="s">
        <v>53</v>
      </c>
      <c r="J18" s="48">
        <v>46113</v>
      </c>
      <c r="K18" s="48">
        <v>46262</v>
      </c>
      <c r="L18" s="49" t="s">
        <v>29</v>
      </c>
      <c r="M18" s="47" t="s">
        <v>54</v>
      </c>
      <c r="N18" s="50">
        <f>78840000/6</f>
        <v>13140000</v>
      </c>
    </row>
    <row r="19" spans="1:14" ht="72">
      <c r="A19" s="32">
        <v>6</v>
      </c>
      <c r="B19" s="22" t="s">
        <v>55</v>
      </c>
      <c r="C19" s="33" t="s">
        <v>56</v>
      </c>
      <c r="D19" s="14" t="s">
        <v>57</v>
      </c>
      <c r="E19" s="37" t="s">
        <v>24</v>
      </c>
      <c r="F19" s="32" t="s">
        <v>58</v>
      </c>
      <c r="G19" s="34" t="s">
        <v>59</v>
      </c>
      <c r="H19" s="61" t="s">
        <v>60</v>
      </c>
      <c r="I19" s="47" t="s">
        <v>53</v>
      </c>
      <c r="J19" s="48">
        <v>46113</v>
      </c>
      <c r="K19" s="48">
        <v>46262</v>
      </c>
      <c r="L19" s="49" t="s">
        <v>29</v>
      </c>
      <c r="M19" s="47" t="s">
        <v>54</v>
      </c>
      <c r="N19" s="50">
        <v>8400000</v>
      </c>
    </row>
    <row r="20" spans="1:14">
      <c r="A20" s="34">
        <v>7</v>
      </c>
      <c r="B20" s="51" t="s">
        <v>61</v>
      </c>
      <c r="C20" s="51"/>
      <c r="D20" s="51"/>
      <c r="E20" s="52"/>
      <c r="F20" s="51"/>
      <c r="G20" s="51"/>
      <c r="H20" s="51"/>
      <c r="I20" s="51"/>
      <c r="J20" s="52"/>
      <c r="K20" s="52"/>
      <c r="L20" s="51"/>
      <c r="M20" s="51"/>
      <c r="N20" s="51"/>
    </row>
  </sheetData>
  <mergeCells count="22">
    <mergeCell ref="A4:D4"/>
    <mergeCell ref="A5:N5"/>
    <mergeCell ref="A6:N6"/>
    <mergeCell ref="A8:N8"/>
    <mergeCell ref="A9:G9"/>
    <mergeCell ref="A7:N7"/>
    <mergeCell ref="A10:A12"/>
    <mergeCell ref="B10:B12"/>
    <mergeCell ref="C10:C12"/>
    <mergeCell ref="D10:D12"/>
    <mergeCell ref="E10:G10"/>
    <mergeCell ref="N10:N12"/>
    <mergeCell ref="E11:E12"/>
    <mergeCell ref="F11:F12"/>
    <mergeCell ref="G11:G12"/>
    <mergeCell ref="J11:J12"/>
    <mergeCell ref="K11:K12"/>
    <mergeCell ref="L11:L12"/>
    <mergeCell ref="H10:H12"/>
    <mergeCell ref="I10:I12"/>
    <mergeCell ref="J10:L10"/>
    <mergeCell ref="M10:M1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4BFD8-8CDE-47E7-8018-32D6C14DFF59}">
  <dimension ref="A1:N24"/>
  <sheetViews>
    <sheetView zoomScale="70" zoomScaleNormal="70" workbookViewId="0">
      <selection activeCell="A8" sqref="A8"/>
    </sheetView>
  </sheetViews>
  <sheetFormatPr defaultRowHeight="15"/>
  <cols>
    <col min="1" max="1" width="4" bestFit="1" customWidth="1"/>
    <col min="2" max="2" width="25.5703125" customWidth="1"/>
    <col min="3" max="3" width="22.5703125" bestFit="1" customWidth="1"/>
    <col min="4" max="4" width="21.140625" customWidth="1"/>
    <col min="5" max="6" width="16.42578125" customWidth="1"/>
    <col min="7" max="7" width="16.7109375" customWidth="1"/>
    <col min="9" max="9" width="16.5703125" customWidth="1"/>
    <col min="13" max="13" width="11.5703125" customWidth="1"/>
    <col min="14" max="14" width="15.5703125" customWidth="1"/>
  </cols>
  <sheetData>
    <row r="1" spans="1:14">
      <c r="A1" s="1"/>
      <c r="B1" s="2"/>
      <c r="C1" s="1"/>
      <c r="D1" s="1"/>
      <c r="E1" s="12"/>
      <c r="F1" s="1"/>
      <c r="G1" s="12"/>
    </row>
    <row r="2" spans="1:14">
      <c r="A2" s="1"/>
      <c r="B2" s="2"/>
      <c r="C2" s="2"/>
      <c r="D2" s="1"/>
      <c r="E2" s="13"/>
      <c r="F2" s="1"/>
      <c r="G2" s="13"/>
    </row>
    <row r="3" spans="1:14">
      <c r="A3" s="1"/>
      <c r="B3" s="2"/>
      <c r="C3" s="1"/>
      <c r="D3" s="1"/>
      <c r="E3" s="13"/>
      <c r="F3" s="1"/>
      <c r="G3" s="13"/>
    </row>
    <row r="4" spans="1:14">
      <c r="A4" s="134" t="s">
        <v>0</v>
      </c>
      <c r="B4" s="134"/>
      <c r="C4" s="134"/>
      <c r="D4" s="134"/>
      <c r="E4" s="13"/>
      <c r="F4" s="1"/>
      <c r="G4" s="2"/>
    </row>
    <row r="5" spans="1:14">
      <c r="A5" s="116" t="s">
        <v>1</v>
      </c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</row>
    <row r="6" spans="1:14">
      <c r="A6" s="116" t="s">
        <v>2</v>
      </c>
      <c r="B6" s="116"/>
      <c r="C6" s="116"/>
      <c r="D6" s="116"/>
      <c r="E6" s="116"/>
      <c r="F6" s="116"/>
      <c r="G6" s="116"/>
      <c r="H6" s="116"/>
      <c r="I6" s="116"/>
      <c r="J6" s="116"/>
      <c r="K6" s="116"/>
      <c r="L6" s="116"/>
      <c r="M6" s="116"/>
      <c r="N6" s="116"/>
    </row>
    <row r="7" spans="1:14">
      <c r="A7" s="116" t="s">
        <v>62</v>
      </c>
      <c r="B7" s="116"/>
      <c r="C7" s="116"/>
      <c r="D7" s="116"/>
      <c r="E7" s="116"/>
      <c r="F7" s="116"/>
      <c r="G7" s="116"/>
      <c r="H7" s="116"/>
      <c r="I7" s="116"/>
      <c r="J7" s="116"/>
      <c r="K7" s="116"/>
      <c r="L7" s="116"/>
      <c r="M7" s="116"/>
      <c r="N7" s="116"/>
    </row>
    <row r="8" spans="1:14">
      <c r="A8" s="116" t="s">
        <v>4</v>
      </c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</row>
    <row r="9" spans="1:14">
      <c r="A9" s="114"/>
      <c r="B9" s="115"/>
      <c r="C9" s="115"/>
      <c r="D9" s="115"/>
      <c r="E9" s="115"/>
      <c r="F9" s="115"/>
      <c r="G9" s="115"/>
    </row>
    <row r="10" spans="1:14" ht="15.6" customHeight="1">
      <c r="A10" s="117" t="s">
        <v>5</v>
      </c>
      <c r="B10" s="117" t="s">
        <v>6</v>
      </c>
      <c r="C10" s="117" t="s">
        <v>7</v>
      </c>
      <c r="D10" s="119" t="s">
        <v>8</v>
      </c>
      <c r="E10" s="117" t="s">
        <v>9</v>
      </c>
      <c r="F10" s="117"/>
      <c r="G10" s="117"/>
      <c r="H10" s="131" t="s">
        <v>10</v>
      </c>
      <c r="I10" s="120" t="s">
        <v>11</v>
      </c>
      <c r="J10" s="123" t="s">
        <v>12</v>
      </c>
      <c r="K10" s="124"/>
      <c r="L10" s="125"/>
      <c r="M10" s="120" t="s">
        <v>13</v>
      </c>
      <c r="N10" s="126" t="s">
        <v>14</v>
      </c>
    </row>
    <row r="11" spans="1:14" ht="15.6" customHeight="1">
      <c r="A11" s="117"/>
      <c r="B11" s="117"/>
      <c r="C11" s="117"/>
      <c r="D11" s="119"/>
      <c r="E11" s="117" t="s">
        <v>15</v>
      </c>
      <c r="F11" s="117" t="s">
        <v>16</v>
      </c>
      <c r="G11" s="117" t="s">
        <v>17</v>
      </c>
      <c r="H11" s="132"/>
      <c r="I11" s="121"/>
      <c r="J11" s="129" t="s">
        <v>18</v>
      </c>
      <c r="K11" s="129" t="s">
        <v>19</v>
      </c>
      <c r="L11" s="129" t="s">
        <v>20</v>
      </c>
      <c r="M11" s="121"/>
      <c r="N11" s="127"/>
    </row>
    <row r="12" spans="1:14" ht="8.4499999999999993" customHeight="1">
      <c r="A12" s="117"/>
      <c r="B12" s="117"/>
      <c r="C12" s="117"/>
      <c r="D12" s="119"/>
      <c r="E12" s="117"/>
      <c r="F12" s="117"/>
      <c r="G12" s="117"/>
      <c r="H12" s="133"/>
      <c r="I12" s="122"/>
      <c r="J12" s="130"/>
      <c r="K12" s="130"/>
      <c r="L12" s="130"/>
      <c r="M12" s="122"/>
      <c r="N12" s="128"/>
    </row>
    <row r="13" spans="1:14">
      <c r="A13" s="20">
        <v>1</v>
      </c>
      <c r="B13" s="21">
        <v>2</v>
      </c>
      <c r="C13" s="20">
        <v>3</v>
      </c>
      <c r="D13" s="21">
        <v>4</v>
      </c>
      <c r="E13" s="20">
        <v>5</v>
      </c>
      <c r="F13" s="21">
        <v>6</v>
      </c>
      <c r="G13" s="20">
        <v>7</v>
      </c>
      <c r="H13" s="21">
        <v>8</v>
      </c>
      <c r="I13" s="20">
        <v>9</v>
      </c>
      <c r="J13" s="21">
        <v>10</v>
      </c>
      <c r="K13" s="20">
        <v>11</v>
      </c>
      <c r="L13" s="21">
        <v>12</v>
      </c>
      <c r="M13" s="20">
        <v>13</v>
      </c>
      <c r="N13" s="21">
        <v>14</v>
      </c>
    </row>
    <row r="14" spans="1:14">
      <c r="A14" s="5">
        <v>1</v>
      </c>
      <c r="B14" s="4"/>
      <c r="C14" s="5"/>
      <c r="D14" s="15"/>
      <c r="E14" s="15"/>
      <c r="F14" s="5"/>
      <c r="G14" s="17"/>
      <c r="H14" s="19"/>
      <c r="I14" s="19"/>
      <c r="J14" s="19"/>
      <c r="K14" s="19"/>
      <c r="L14" s="19"/>
      <c r="M14" s="19"/>
      <c r="N14" s="19"/>
    </row>
    <row r="15" spans="1:14">
      <c r="A15" s="5">
        <v>2</v>
      </c>
      <c r="B15" s="4"/>
      <c r="C15" s="5"/>
      <c r="D15" s="14"/>
      <c r="E15" s="15"/>
      <c r="F15" s="5"/>
      <c r="G15" s="17"/>
      <c r="H15" s="19"/>
      <c r="I15" s="19"/>
      <c r="J15" s="19"/>
      <c r="K15" s="19"/>
      <c r="L15" s="19"/>
      <c r="M15" s="19"/>
      <c r="N15" s="19"/>
    </row>
    <row r="16" spans="1:14">
      <c r="A16" s="5">
        <v>3</v>
      </c>
      <c r="B16" s="4"/>
      <c r="C16" s="5"/>
      <c r="D16" s="14"/>
      <c r="E16" s="15"/>
      <c r="F16" s="5"/>
      <c r="G16" s="17"/>
      <c r="H16" s="19"/>
      <c r="I16" s="19"/>
      <c r="J16" s="19"/>
      <c r="K16" s="19"/>
      <c r="L16" s="19"/>
      <c r="M16" s="19"/>
      <c r="N16" s="19"/>
    </row>
    <row r="17" spans="1:14">
      <c r="A17" s="5">
        <v>4</v>
      </c>
      <c r="B17" s="4"/>
      <c r="C17" s="5"/>
      <c r="D17" s="14"/>
      <c r="E17" s="15"/>
      <c r="F17" s="5"/>
      <c r="G17" s="17"/>
      <c r="H17" s="19"/>
      <c r="I17" s="19"/>
      <c r="J17" s="19"/>
      <c r="K17" s="19"/>
      <c r="L17" s="19"/>
      <c r="M17" s="19"/>
      <c r="N17" s="19"/>
    </row>
    <row r="18" spans="1:14">
      <c r="A18" s="5">
        <v>5</v>
      </c>
      <c r="B18" s="4"/>
      <c r="C18" s="5"/>
      <c r="D18" s="14"/>
      <c r="E18" s="15"/>
      <c r="F18" s="5"/>
      <c r="G18" s="17"/>
      <c r="H18" s="19"/>
      <c r="I18" s="19"/>
      <c r="J18" s="19"/>
      <c r="K18" s="19"/>
      <c r="L18" s="19"/>
      <c r="M18" s="19"/>
      <c r="N18" s="19"/>
    </row>
    <row r="19" spans="1:14">
      <c r="A19" s="5">
        <v>6</v>
      </c>
      <c r="B19" s="4"/>
      <c r="C19" s="5"/>
      <c r="D19" s="14"/>
      <c r="E19" s="15"/>
      <c r="F19" s="5"/>
      <c r="G19" s="17"/>
      <c r="H19" s="19"/>
      <c r="I19" s="19"/>
      <c r="J19" s="19"/>
      <c r="K19" s="19"/>
      <c r="L19" s="19"/>
      <c r="M19" s="19"/>
      <c r="N19" s="19"/>
    </row>
    <row r="20" spans="1:14">
      <c r="A20" s="5">
        <v>7</v>
      </c>
      <c r="B20" s="4"/>
      <c r="C20" s="5"/>
      <c r="D20" s="14"/>
      <c r="E20" s="15"/>
      <c r="F20" s="5"/>
      <c r="G20" s="17"/>
      <c r="H20" s="19"/>
      <c r="I20" s="19"/>
      <c r="J20" s="19"/>
      <c r="K20" s="19"/>
      <c r="L20" s="19"/>
      <c r="M20" s="19"/>
      <c r="N20" s="19"/>
    </row>
    <row r="21" spans="1:14">
      <c r="A21" s="5">
        <v>8</v>
      </c>
      <c r="B21" s="6"/>
      <c r="C21" s="7"/>
      <c r="D21" s="14"/>
      <c r="E21" s="16"/>
      <c r="F21" s="7"/>
      <c r="G21" s="17"/>
      <c r="H21" s="19"/>
      <c r="I21" s="19"/>
      <c r="J21" s="19"/>
      <c r="K21" s="19"/>
      <c r="L21" s="19"/>
      <c r="M21" s="19"/>
      <c r="N21" s="19"/>
    </row>
    <row r="22" spans="1:14">
      <c r="A22" s="5">
        <v>9</v>
      </c>
      <c r="B22" s="8"/>
      <c r="C22" s="9"/>
      <c r="D22" s="14"/>
      <c r="E22" s="8"/>
      <c r="F22" s="10"/>
      <c r="G22" s="18"/>
      <c r="H22" s="19"/>
      <c r="I22" s="19"/>
      <c r="J22" s="19"/>
      <c r="K22" s="19"/>
      <c r="L22" s="19"/>
      <c r="M22" s="19"/>
      <c r="N22" s="19"/>
    </row>
    <row r="23" spans="1:14">
      <c r="A23" s="5">
        <v>10</v>
      </c>
      <c r="B23" s="8"/>
      <c r="C23" s="9"/>
      <c r="D23" s="14"/>
      <c r="E23" s="8"/>
      <c r="F23" s="10"/>
      <c r="G23" s="18"/>
      <c r="H23" s="19"/>
      <c r="I23" s="19"/>
      <c r="J23" s="19"/>
      <c r="K23" s="19"/>
      <c r="L23" s="19"/>
      <c r="M23" s="19"/>
      <c r="N23" s="19"/>
    </row>
    <row r="24" spans="1:14">
      <c r="A24" s="1"/>
      <c r="B24" s="3"/>
      <c r="C24" s="3"/>
      <c r="D24" s="3"/>
      <c r="E24" s="3"/>
      <c r="F24" s="11"/>
      <c r="G24" s="3"/>
    </row>
  </sheetData>
  <mergeCells count="22">
    <mergeCell ref="I10:I12"/>
    <mergeCell ref="J10:L10"/>
    <mergeCell ref="M10:M12"/>
    <mergeCell ref="N10:N12"/>
    <mergeCell ref="E11:E12"/>
    <mergeCell ref="F11:F12"/>
    <mergeCell ref="G11:G12"/>
    <mergeCell ref="J11:J12"/>
    <mergeCell ref="K11:K12"/>
    <mergeCell ref="L11:L12"/>
    <mergeCell ref="H10:H12"/>
    <mergeCell ref="A10:A12"/>
    <mergeCell ref="B10:B12"/>
    <mergeCell ref="C10:C12"/>
    <mergeCell ref="D10:D12"/>
    <mergeCell ref="E10:G10"/>
    <mergeCell ref="A9:G9"/>
    <mergeCell ref="A4:D4"/>
    <mergeCell ref="A5:N5"/>
    <mergeCell ref="A6:N6"/>
    <mergeCell ref="A7:N7"/>
    <mergeCell ref="A8:N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6A9D7-6362-4218-B008-EFBC7772AFFB}">
  <dimension ref="A1:N39"/>
  <sheetViews>
    <sheetView topLeftCell="A8" zoomScale="70" zoomScaleNormal="70" workbookViewId="0">
      <pane xSplit="1" ySplit="6" topLeftCell="B17" activePane="bottomRight" state="frozen"/>
      <selection pane="bottomRight" activeCell="I1" sqref="I1:I1048576"/>
      <selection pane="bottomLeft"/>
      <selection pane="topRight"/>
    </sheetView>
  </sheetViews>
  <sheetFormatPr defaultRowHeight="15"/>
  <cols>
    <col min="1" max="1" width="4" bestFit="1" customWidth="1"/>
    <col min="2" max="2" width="25.5703125" customWidth="1"/>
    <col min="3" max="3" width="22.5703125" bestFit="1" customWidth="1"/>
    <col min="4" max="4" width="21.140625" customWidth="1"/>
    <col min="5" max="6" width="16.42578125" customWidth="1"/>
    <col min="7" max="7" width="16.7109375" customWidth="1"/>
    <col min="8" max="8" width="88.28515625" bestFit="1" customWidth="1"/>
    <col min="9" max="9" width="26.28515625" customWidth="1"/>
    <col min="13" max="13" width="11.5703125" customWidth="1"/>
    <col min="14" max="14" width="15.5703125" customWidth="1"/>
  </cols>
  <sheetData>
    <row r="1" spans="1:14">
      <c r="A1" s="1"/>
      <c r="B1" s="2"/>
      <c r="C1" s="1"/>
      <c r="D1" s="1"/>
      <c r="E1" s="12"/>
      <c r="F1" s="1"/>
      <c r="G1" s="12"/>
    </row>
    <row r="2" spans="1:14">
      <c r="A2" s="1"/>
      <c r="B2" s="2"/>
      <c r="C2" s="2"/>
      <c r="D2" s="1"/>
      <c r="E2" s="13"/>
      <c r="F2" s="1"/>
      <c r="G2" s="13"/>
    </row>
    <row r="3" spans="1:14">
      <c r="A3" s="1"/>
      <c r="B3" s="2"/>
      <c r="C3" s="1"/>
      <c r="D3" s="1"/>
      <c r="E3" s="13"/>
      <c r="F3" s="1"/>
      <c r="G3" s="13"/>
    </row>
    <row r="4" spans="1:14">
      <c r="A4" s="134" t="s">
        <v>0</v>
      </c>
      <c r="B4" s="134"/>
      <c r="C4" s="134"/>
      <c r="D4" s="134"/>
      <c r="E4" s="13"/>
      <c r="F4" s="1"/>
      <c r="G4" s="2"/>
    </row>
    <row r="5" spans="1:14">
      <c r="A5" s="116" t="s">
        <v>1</v>
      </c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</row>
    <row r="6" spans="1:14">
      <c r="A6" s="116" t="s">
        <v>2</v>
      </c>
      <c r="B6" s="116"/>
      <c r="C6" s="116"/>
      <c r="D6" s="116"/>
      <c r="E6" s="116"/>
      <c r="F6" s="116"/>
      <c r="G6" s="116"/>
      <c r="H6" s="116"/>
      <c r="I6" s="116"/>
      <c r="J6" s="116"/>
      <c r="K6" s="116"/>
      <c r="L6" s="116"/>
      <c r="M6" s="116"/>
      <c r="N6" s="116"/>
    </row>
    <row r="7" spans="1:14">
      <c r="A7" s="116" t="s">
        <v>63</v>
      </c>
      <c r="B7" s="116"/>
      <c r="C7" s="116"/>
      <c r="D7" s="116"/>
      <c r="E7" s="116"/>
      <c r="F7" s="116"/>
      <c r="G7" s="116"/>
      <c r="H7" s="116"/>
      <c r="I7" s="116"/>
      <c r="J7" s="116"/>
      <c r="K7" s="116"/>
      <c r="L7" s="116"/>
      <c r="M7" s="116"/>
      <c r="N7" s="116"/>
    </row>
    <row r="8" spans="1:14">
      <c r="A8" s="116" t="s">
        <v>4</v>
      </c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</row>
    <row r="9" spans="1:14">
      <c r="A9" s="114"/>
      <c r="B9" s="115"/>
      <c r="C9" s="115"/>
      <c r="D9" s="115"/>
      <c r="E9" s="115"/>
      <c r="F9" s="115"/>
      <c r="G9" s="115"/>
    </row>
    <row r="10" spans="1:14" ht="15.6" customHeight="1">
      <c r="A10" s="117" t="s">
        <v>5</v>
      </c>
      <c r="B10" s="117" t="s">
        <v>6</v>
      </c>
      <c r="C10" s="117" t="s">
        <v>7</v>
      </c>
      <c r="D10" s="119" t="s">
        <v>8</v>
      </c>
      <c r="E10" s="117" t="s">
        <v>9</v>
      </c>
      <c r="F10" s="117"/>
      <c r="G10" s="117"/>
      <c r="H10" s="131" t="s">
        <v>10</v>
      </c>
      <c r="I10" s="120" t="s">
        <v>11</v>
      </c>
      <c r="J10" s="123" t="s">
        <v>12</v>
      </c>
      <c r="K10" s="124"/>
      <c r="L10" s="125"/>
      <c r="M10" s="120" t="s">
        <v>13</v>
      </c>
      <c r="N10" s="126" t="s">
        <v>14</v>
      </c>
    </row>
    <row r="11" spans="1:14" ht="15.6" customHeight="1">
      <c r="A11" s="117"/>
      <c r="B11" s="117"/>
      <c r="C11" s="117"/>
      <c r="D11" s="119"/>
      <c r="E11" s="117" t="s">
        <v>15</v>
      </c>
      <c r="F11" s="117" t="s">
        <v>16</v>
      </c>
      <c r="G11" s="117" t="s">
        <v>17</v>
      </c>
      <c r="H11" s="132"/>
      <c r="I11" s="121"/>
      <c r="J11" s="129" t="s">
        <v>18</v>
      </c>
      <c r="K11" s="129" t="s">
        <v>19</v>
      </c>
      <c r="L11" s="129" t="s">
        <v>20</v>
      </c>
      <c r="M11" s="121"/>
      <c r="N11" s="127"/>
    </row>
    <row r="12" spans="1:14" ht="8.4499999999999993" customHeight="1">
      <c r="A12" s="117"/>
      <c r="B12" s="117"/>
      <c r="C12" s="117"/>
      <c r="D12" s="119"/>
      <c r="E12" s="117"/>
      <c r="F12" s="117"/>
      <c r="G12" s="117"/>
      <c r="H12" s="133"/>
      <c r="I12" s="122"/>
      <c r="J12" s="130"/>
      <c r="K12" s="130"/>
      <c r="L12" s="130"/>
      <c r="M12" s="122"/>
      <c r="N12" s="128"/>
    </row>
    <row r="13" spans="1:14">
      <c r="A13" s="20">
        <v>1</v>
      </c>
      <c r="B13" s="21">
        <v>2</v>
      </c>
      <c r="C13" s="20">
        <v>3</v>
      </c>
      <c r="D13" s="21">
        <v>4</v>
      </c>
      <c r="E13" s="20">
        <v>5</v>
      </c>
      <c r="F13" s="21">
        <v>6</v>
      </c>
      <c r="G13" s="20">
        <v>7</v>
      </c>
      <c r="H13" s="21">
        <v>8</v>
      </c>
      <c r="I13" s="20">
        <v>9</v>
      </c>
      <c r="J13" s="21">
        <v>10</v>
      </c>
      <c r="K13" s="20">
        <v>11</v>
      </c>
      <c r="L13" s="21">
        <v>12</v>
      </c>
      <c r="M13" s="20">
        <v>13</v>
      </c>
      <c r="N13" s="21">
        <v>14</v>
      </c>
    </row>
    <row r="14" spans="1:14" s="78" customFormat="1" ht="76.5">
      <c r="A14" s="62">
        <v>1</v>
      </c>
      <c r="B14" s="70" t="s">
        <v>64</v>
      </c>
      <c r="C14" s="71" t="s">
        <v>65</v>
      </c>
      <c r="D14" s="72" t="s">
        <v>66</v>
      </c>
      <c r="E14" s="72" t="s">
        <v>67</v>
      </c>
      <c r="F14" s="62" t="s">
        <v>68</v>
      </c>
      <c r="G14" s="73" t="s">
        <v>69</v>
      </c>
      <c r="H14" s="75" t="s">
        <v>70</v>
      </c>
      <c r="I14" s="75" t="s">
        <v>71</v>
      </c>
      <c r="J14" s="76">
        <v>46058</v>
      </c>
      <c r="K14" s="76">
        <v>46387</v>
      </c>
      <c r="L14" s="75" t="s">
        <v>72</v>
      </c>
      <c r="M14" s="75">
        <v>522131</v>
      </c>
      <c r="N14" s="77">
        <v>12435000</v>
      </c>
    </row>
    <row r="15" spans="1:14" s="78" customFormat="1" ht="91.5">
      <c r="A15" s="62">
        <v>2</v>
      </c>
      <c r="B15" s="70" t="s">
        <v>73</v>
      </c>
      <c r="C15" s="71" t="s">
        <v>74</v>
      </c>
      <c r="D15" s="74" t="s">
        <v>75</v>
      </c>
      <c r="E15" s="72" t="s">
        <v>24</v>
      </c>
      <c r="F15" s="62" t="s">
        <v>25</v>
      </c>
      <c r="G15" s="73" t="s">
        <v>76</v>
      </c>
      <c r="H15" s="75" t="s">
        <v>77</v>
      </c>
      <c r="I15" s="75" t="s">
        <v>78</v>
      </c>
      <c r="J15" s="76">
        <v>46058</v>
      </c>
      <c r="K15" s="76">
        <v>46387</v>
      </c>
      <c r="L15" s="75" t="s">
        <v>72</v>
      </c>
      <c r="M15" s="75">
        <v>522191</v>
      </c>
      <c r="N15" s="77">
        <v>6427850</v>
      </c>
    </row>
    <row r="16" spans="1:14" s="78" customFormat="1" ht="91.5">
      <c r="A16" s="62">
        <v>3</v>
      </c>
      <c r="B16" s="70" t="s">
        <v>79</v>
      </c>
      <c r="C16" s="71" t="s">
        <v>80</v>
      </c>
      <c r="D16" s="74" t="s">
        <v>81</v>
      </c>
      <c r="E16" s="72" t="s">
        <v>82</v>
      </c>
      <c r="F16" s="62" t="s">
        <v>83</v>
      </c>
      <c r="G16" s="73" t="s">
        <v>84</v>
      </c>
      <c r="H16" s="75" t="s">
        <v>77</v>
      </c>
      <c r="I16" s="75" t="s">
        <v>78</v>
      </c>
      <c r="J16" s="76">
        <v>46058</v>
      </c>
      <c r="K16" s="76">
        <v>46387</v>
      </c>
      <c r="L16" s="75" t="s">
        <v>72</v>
      </c>
      <c r="M16" s="75">
        <v>522191</v>
      </c>
      <c r="N16" s="77">
        <v>6427850</v>
      </c>
    </row>
    <row r="17" spans="1:14" s="78" customFormat="1" ht="106.5">
      <c r="A17" s="62">
        <v>4</v>
      </c>
      <c r="B17" s="70" t="s">
        <v>85</v>
      </c>
      <c r="C17" s="71" t="s">
        <v>86</v>
      </c>
      <c r="D17" s="74" t="s">
        <v>87</v>
      </c>
      <c r="E17" s="72" t="s">
        <v>24</v>
      </c>
      <c r="F17" s="62" t="s">
        <v>88</v>
      </c>
      <c r="G17" s="73"/>
      <c r="H17" s="75" t="s">
        <v>89</v>
      </c>
      <c r="I17" s="75" t="s">
        <v>90</v>
      </c>
      <c r="J17" s="76">
        <v>46058</v>
      </c>
      <c r="K17" s="76">
        <v>46387</v>
      </c>
      <c r="L17" s="75" t="s">
        <v>72</v>
      </c>
      <c r="M17" s="75">
        <v>522191</v>
      </c>
      <c r="N17" s="77">
        <v>3907000</v>
      </c>
    </row>
    <row r="18" spans="1:14">
      <c r="A18" s="5">
        <v>5</v>
      </c>
      <c r="B18" s="4" t="s">
        <v>91</v>
      </c>
      <c r="C18" s="5"/>
      <c r="D18" s="14"/>
      <c r="E18" s="15"/>
      <c r="F18" s="5"/>
      <c r="G18" s="17"/>
      <c r="H18" s="19" t="s">
        <v>92</v>
      </c>
      <c r="I18" s="19"/>
      <c r="J18" s="19"/>
      <c r="K18" s="19"/>
      <c r="L18" s="19"/>
      <c r="M18" s="19"/>
      <c r="N18" s="19"/>
    </row>
    <row r="19" spans="1:14">
      <c r="A19" s="5">
        <v>6</v>
      </c>
      <c r="B19" s="4" t="s">
        <v>93</v>
      </c>
      <c r="C19" s="5"/>
      <c r="D19" s="14"/>
      <c r="E19" s="15"/>
      <c r="F19" s="5"/>
      <c r="G19" s="17"/>
      <c r="H19" s="19" t="s">
        <v>94</v>
      </c>
      <c r="I19" s="19"/>
      <c r="J19" s="19"/>
      <c r="K19" s="19"/>
      <c r="L19" s="19"/>
      <c r="M19" s="19"/>
      <c r="N19" s="19"/>
    </row>
    <row r="20" spans="1:14">
      <c r="A20" s="5">
        <v>7</v>
      </c>
      <c r="B20" s="4" t="s">
        <v>95</v>
      </c>
      <c r="C20" s="5"/>
      <c r="D20" s="14"/>
      <c r="E20" s="15"/>
      <c r="F20" s="5"/>
      <c r="G20" s="17"/>
      <c r="H20" s="19" t="s">
        <v>96</v>
      </c>
      <c r="I20" s="19"/>
      <c r="J20" s="19"/>
      <c r="K20" s="19"/>
      <c r="L20" s="19"/>
      <c r="M20" s="19"/>
      <c r="N20" s="19"/>
    </row>
    <row r="21" spans="1:14">
      <c r="A21" s="5">
        <v>8</v>
      </c>
      <c r="B21" s="6" t="s">
        <v>97</v>
      </c>
      <c r="C21" s="7"/>
      <c r="D21" s="14"/>
      <c r="E21" s="16"/>
      <c r="F21" s="7"/>
      <c r="G21" s="17"/>
      <c r="H21" s="19" t="s">
        <v>98</v>
      </c>
      <c r="I21" s="19"/>
      <c r="J21" s="19"/>
      <c r="K21" s="19"/>
      <c r="L21" s="19"/>
      <c r="M21" s="19"/>
      <c r="N21" s="19"/>
    </row>
    <row r="22" spans="1:14" ht="15.75">
      <c r="A22" s="5">
        <v>9</v>
      </c>
      <c r="B22" s="8" t="s">
        <v>99</v>
      </c>
      <c r="C22" s="9"/>
      <c r="D22" s="14"/>
      <c r="E22" s="8"/>
      <c r="F22" s="10"/>
      <c r="G22" s="18"/>
      <c r="H22" s="19" t="s">
        <v>100</v>
      </c>
      <c r="I22" s="19"/>
      <c r="J22" s="19"/>
      <c r="K22" s="19"/>
      <c r="L22" s="19"/>
      <c r="M22" s="19"/>
      <c r="N22" s="19"/>
    </row>
    <row r="23" spans="1:14" ht="15.75">
      <c r="A23" s="5">
        <v>10</v>
      </c>
      <c r="B23" s="8" t="s">
        <v>101</v>
      </c>
      <c r="C23" s="9"/>
      <c r="D23" s="14"/>
      <c r="E23" s="8"/>
      <c r="F23" s="10"/>
      <c r="G23" s="18"/>
      <c r="H23" s="19" t="s">
        <v>100</v>
      </c>
      <c r="I23" s="19"/>
      <c r="J23" s="19"/>
      <c r="K23" s="19"/>
      <c r="L23" s="19"/>
      <c r="M23" s="19"/>
      <c r="N23" s="19"/>
    </row>
    <row r="24" spans="1:14">
      <c r="A24" s="1"/>
      <c r="B24" s="3" t="s">
        <v>102</v>
      </c>
      <c r="C24" s="3"/>
      <c r="D24" s="3"/>
      <c r="E24" s="3"/>
      <c r="F24" s="11"/>
      <c r="G24" s="3"/>
      <c r="H24" s="19" t="s">
        <v>100</v>
      </c>
    </row>
    <row r="25" spans="1:14">
      <c r="B25" t="s">
        <v>103</v>
      </c>
      <c r="H25" t="s">
        <v>104</v>
      </c>
    </row>
    <row r="26" spans="1:14">
      <c r="B26" t="s">
        <v>105</v>
      </c>
      <c r="H26" t="s">
        <v>106</v>
      </c>
    </row>
    <row r="27" spans="1:14">
      <c r="B27" t="s">
        <v>107</v>
      </c>
      <c r="H27" t="s">
        <v>108</v>
      </c>
    </row>
    <row r="28" spans="1:14">
      <c r="B28" t="s">
        <v>109</v>
      </c>
      <c r="H28" t="s">
        <v>110</v>
      </c>
    </row>
    <row r="29" spans="1:14">
      <c r="B29" t="s">
        <v>111</v>
      </c>
      <c r="H29" t="s">
        <v>112</v>
      </c>
    </row>
    <row r="30" spans="1:14">
      <c r="B30" t="s">
        <v>113</v>
      </c>
      <c r="H30" t="s">
        <v>114</v>
      </c>
    </row>
    <row r="31" spans="1:14">
      <c r="B31" t="s">
        <v>115</v>
      </c>
      <c r="H31" t="s">
        <v>116</v>
      </c>
    </row>
    <row r="32" spans="1:14">
      <c r="B32" t="s">
        <v>117</v>
      </c>
      <c r="H32" t="s">
        <v>116</v>
      </c>
    </row>
    <row r="33" spans="2:8">
      <c r="B33" t="s">
        <v>118</v>
      </c>
      <c r="H33" t="s">
        <v>119</v>
      </c>
    </row>
    <row r="34" spans="2:8">
      <c r="B34" t="s">
        <v>120</v>
      </c>
      <c r="H34" t="s">
        <v>121</v>
      </c>
    </row>
    <row r="35" spans="2:8">
      <c r="B35" t="s">
        <v>122</v>
      </c>
      <c r="H35" t="s">
        <v>123</v>
      </c>
    </row>
    <row r="36" spans="2:8">
      <c r="B36" t="s">
        <v>124</v>
      </c>
      <c r="H36" t="s">
        <v>125</v>
      </c>
    </row>
    <row r="37" spans="2:8">
      <c r="B37" t="s">
        <v>126</v>
      </c>
      <c r="H37" t="s">
        <v>127</v>
      </c>
    </row>
    <row r="38" spans="2:8">
      <c r="B38" t="s">
        <v>128</v>
      </c>
      <c r="H38" t="s">
        <v>129</v>
      </c>
    </row>
    <row r="39" spans="2:8">
      <c r="B39" t="s">
        <v>130</v>
      </c>
      <c r="H39" t="s">
        <v>129</v>
      </c>
    </row>
  </sheetData>
  <mergeCells count="22">
    <mergeCell ref="I10:I12"/>
    <mergeCell ref="J10:L10"/>
    <mergeCell ref="M10:M12"/>
    <mergeCell ref="N10:N12"/>
    <mergeCell ref="E11:E12"/>
    <mergeCell ref="F11:F12"/>
    <mergeCell ref="G11:G12"/>
    <mergeCell ref="J11:J12"/>
    <mergeCell ref="K11:K12"/>
    <mergeCell ref="L11:L12"/>
    <mergeCell ref="H10:H12"/>
    <mergeCell ref="A10:A12"/>
    <mergeCell ref="B10:B12"/>
    <mergeCell ref="C10:C12"/>
    <mergeCell ref="D10:D12"/>
    <mergeCell ref="E10:G10"/>
    <mergeCell ref="A9:G9"/>
    <mergeCell ref="A4:D4"/>
    <mergeCell ref="A5:N5"/>
    <mergeCell ref="A6:N6"/>
    <mergeCell ref="A7:N7"/>
    <mergeCell ref="A8:N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BE3D3-97C5-4CCA-BF6C-093CABC5E17D}">
  <dimension ref="A1:N24"/>
  <sheetViews>
    <sheetView topLeftCell="B1" zoomScale="70" zoomScaleNormal="70" workbookViewId="0">
      <selection activeCell="E16" sqref="E16"/>
    </sheetView>
  </sheetViews>
  <sheetFormatPr defaultRowHeight="15"/>
  <cols>
    <col min="1" max="1" width="4" bestFit="1" customWidth="1"/>
    <col min="2" max="2" width="25.5703125" customWidth="1"/>
    <col min="3" max="3" width="22.5703125" bestFit="1" customWidth="1"/>
    <col min="4" max="4" width="21.140625" customWidth="1"/>
    <col min="5" max="6" width="16.42578125" customWidth="1"/>
    <col min="7" max="7" width="16.7109375" customWidth="1"/>
    <col min="9" max="9" width="16.5703125" customWidth="1"/>
    <col min="13" max="13" width="11.5703125" customWidth="1"/>
    <col min="14" max="14" width="15.5703125" customWidth="1"/>
  </cols>
  <sheetData>
    <row r="1" spans="1:14">
      <c r="A1" s="1"/>
      <c r="B1" s="2"/>
      <c r="C1" s="1"/>
      <c r="D1" s="1"/>
      <c r="E1" s="12"/>
      <c r="F1" s="1"/>
      <c r="G1" s="12"/>
    </row>
    <row r="2" spans="1:14">
      <c r="A2" s="1"/>
      <c r="B2" s="2"/>
      <c r="C2" s="2"/>
      <c r="D2" s="1"/>
      <c r="E2" s="13"/>
      <c r="F2" s="1"/>
      <c r="G2" s="13"/>
    </row>
    <row r="3" spans="1:14">
      <c r="A3" s="1"/>
      <c r="B3" s="2"/>
      <c r="C3" s="1"/>
      <c r="D3" s="1"/>
      <c r="E3" s="13"/>
      <c r="F3" s="1"/>
      <c r="G3" s="13"/>
    </row>
    <row r="4" spans="1:14">
      <c r="A4" s="134" t="s">
        <v>0</v>
      </c>
      <c r="B4" s="134"/>
      <c r="C4" s="134"/>
      <c r="D4" s="134"/>
      <c r="E4" s="13"/>
      <c r="F4" s="1"/>
      <c r="G4" s="2"/>
    </row>
    <row r="5" spans="1:14">
      <c r="A5" s="116" t="s">
        <v>1</v>
      </c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</row>
    <row r="6" spans="1:14">
      <c r="A6" s="116" t="s">
        <v>2</v>
      </c>
      <c r="B6" s="116"/>
      <c r="C6" s="116"/>
      <c r="D6" s="116"/>
      <c r="E6" s="116"/>
      <c r="F6" s="116"/>
      <c r="G6" s="116"/>
      <c r="H6" s="116"/>
      <c r="I6" s="116"/>
      <c r="J6" s="116"/>
      <c r="K6" s="116"/>
      <c r="L6" s="116"/>
      <c r="M6" s="116"/>
      <c r="N6" s="116"/>
    </row>
    <row r="7" spans="1:14">
      <c r="A7" s="116" t="s">
        <v>131</v>
      </c>
      <c r="B7" s="116"/>
      <c r="C7" s="116"/>
      <c r="D7" s="116"/>
      <c r="E7" s="116"/>
      <c r="F7" s="116"/>
      <c r="G7" s="116"/>
      <c r="H7" s="116"/>
      <c r="I7" s="116"/>
      <c r="J7" s="116"/>
      <c r="K7" s="116"/>
      <c r="L7" s="116"/>
      <c r="M7" s="116"/>
      <c r="N7" s="116"/>
    </row>
    <row r="8" spans="1:14">
      <c r="A8" s="116" t="s">
        <v>4</v>
      </c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</row>
    <row r="9" spans="1:14">
      <c r="A9" s="114"/>
      <c r="B9" s="115"/>
      <c r="C9" s="115"/>
      <c r="D9" s="115"/>
      <c r="E9" s="115"/>
      <c r="F9" s="115"/>
      <c r="G9" s="115"/>
    </row>
    <row r="10" spans="1:14" ht="15.6" customHeight="1">
      <c r="A10" s="117" t="s">
        <v>5</v>
      </c>
      <c r="B10" s="117" t="s">
        <v>6</v>
      </c>
      <c r="C10" s="117" t="s">
        <v>7</v>
      </c>
      <c r="D10" s="119" t="s">
        <v>8</v>
      </c>
      <c r="E10" s="117" t="s">
        <v>9</v>
      </c>
      <c r="F10" s="117"/>
      <c r="G10" s="117"/>
      <c r="H10" s="131" t="s">
        <v>10</v>
      </c>
      <c r="I10" s="120" t="s">
        <v>11</v>
      </c>
      <c r="J10" s="123" t="s">
        <v>12</v>
      </c>
      <c r="K10" s="124"/>
      <c r="L10" s="125"/>
      <c r="M10" s="120" t="s">
        <v>13</v>
      </c>
      <c r="N10" s="126" t="s">
        <v>14</v>
      </c>
    </row>
    <row r="11" spans="1:14" ht="15.6" customHeight="1">
      <c r="A11" s="117"/>
      <c r="B11" s="117"/>
      <c r="C11" s="117"/>
      <c r="D11" s="119"/>
      <c r="E11" s="117" t="s">
        <v>15</v>
      </c>
      <c r="F11" s="117" t="s">
        <v>16</v>
      </c>
      <c r="G11" s="117" t="s">
        <v>17</v>
      </c>
      <c r="H11" s="132"/>
      <c r="I11" s="121"/>
      <c r="J11" s="129" t="s">
        <v>18</v>
      </c>
      <c r="K11" s="129" t="s">
        <v>19</v>
      </c>
      <c r="L11" s="129" t="s">
        <v>20</v>
      </c>
      <c r="M11" s="121"/>
      <c r="N11" s="127"/>
    </row>
    <row r="12" spans="1:14" ht="8.4499999999999993" customHeight="1">
      <c r="A12" s="117"/>
      <c r="B12" s="117"/>
      <c r="C12" s="117"/>
      <c r="D12" s="119"/>
      <c r="E12" s="117"/>
      <c r="F12" s="117"/>
      <c r="G12" s="117"/>
      <c r="H12" s="133"/>
      <c r="I12" s="122"/>
      <c r="J12" s="130"/>
      <c r="K12" s="130"/>
      <c r="L12" s="130"/>
      <c r="M12" s="122"/>
      <c r="N12" s="128"/>
    </row>
    <row r="13" spans="1:14">
      <c r="A13" s="20">
        <v>1</v>
      </c>
      <c r="B13" s="20">
        <v>2</v>
      </c>
      <c r="C13" s="20">
        <v>3</v>
      </c>
      <c r="D13" s="20">
        <v>4</v>
      </c>
      <c r="E13" s="20">
        <v>5</v>
      </c>
      <c r="F13" s="20">
        <v>6</v>
      </c>
      <c r="G13" s="20">
        <v>7</v>
      </c>
      <c r="H13" s="20">
        <v>8</v>
      </c>
      <c r="I13" s="20">
        <v>9</v>
      </c>
      <c r="J13" s="20">
        <v>10</v>
      </c>
      <c r="K13" s="20">
        <v>11</v>
      </c>
      <c r="L13" s="20">
        <v>12</v>
      </c>
      <c r="M13" s="20">
        <v>13</v>
      </c>
      <c r="N13" s="20">
        <v>14</v>
      </c>
    </row>
    <row r="14" spans="1:14">
      <c r="A14" s="5">
        <v>1</v>
      </c>
      <c r="B14" s="4"/>
      <c r="C14" s="5"/>
      <c r="D14" s="15"/>
      <c r="E14" s="15"/>
      <c r="F14" s="5"/>
      <c r="G14" s="17"/>
      <c r="H14" s="19"/>
      <c r="I14" s="19"/>
      <c r="J14" s="19"/>
      <c r="K14" s="19"/>
      <c r="L14" s="19"/>
      <c r="M14" s="19"/>
      <c r="N14" s="19"/>
    </row>
    <row r="15" spans="1:14">
      <c r="A15" s="5">
        <v>2</v>
      </c>
      <c r="B15" s="4"/>
      <c r="C15" s="5"/>
      <c r="D15" s="14"/>
      <c r="E15" s="15"/>
      <c r="F15" s="5"/>
      <c r="G15" s="17"/>
      <c r="H15" s="19"/>
      <c r="I15" s="19"/>
      <c r="J15" s="19"/>
      <c r="K15" s="19"/>
      <c r="L15" s="19"/>
      <c r="M15" s="19"/>
      <c r="N15" s="19"/>
    </row>
    <row r="16" spans="1:14">
      <c r="A16" s="5">
        <v>3</v>
      </c>
      <c r="B16" s="4"/>
      <c r="C16" s="5"/>
      <c r="D16" s="14"/>
      <c r="E16" s="15"/>
      <c r="F16" s="5"/>
      <c r="G16" s="17"/>
      <c r="H16" s="19"/>
      <c r="I16" s="19"/>
      <c r="J16" s="19"/>
      <c r="K16" s="19"/>
      <c r="L16" s="19"/>
      <c r="M16" s="19"/>
      <c r="N16" s="19"/>
    </row>
    <row r="17" spans="1:14">
      <c r="A17" s="5">
        <v>4</v>
      </c>
      <c r="B17" s="4"/>
      <c r="C17" s="5"/>
      <c r="D17" s="14"/>
      <c r="E17" s="15"/>
      <c r="F17" s="5"/>
      <c r="G17" s="17"/>
      <c r="H17" s="19"/>
      <c r="I17" s="19"/>
      <c r="J17" s="19"/>
      <c r="K17" s="19"/>
      <c r="L17" s="19"/>
      <c r="M17" s="19"/>
      <c r="N17" s="19"/>
    </row>
    <row r="18" spans="1:14">
      <c r="A18" s="5">
        <v>5</v>
      </c>
      <c r="B18" s="4"/>
      <c r="C18" s="5"/>
      <c r="D18" s="14"/>
      <c r="E18" s="15"/>
      <c r="F18" s="5"/>
      <c r="G18" s="17"/>
      <c r="H18" s="19"/>
      <c r="I18" s="19"/>
      <c r="J18" s="19"/>
      <c r="K18" s="19"/>
      <c r="L18" s="19"/>
      <c r="M18" s="19"/>
      <c r="N18" s="19"/>
    </row>
    <row r="19" spans="1:14">
      <c r="A19" s="5">
        <v>6</v>
      </c>
      <c r="B19" s="4"/>
      <c r="C19" s="5"/>
      <c r="D19" s="14"/>
      <c r="E19" s="15"/>
      <c r="F19" s="5"/>
      <c r="G19" s="17"/>
      <c r="H19" s="19"/>
      <c r="I19" s="19"/>
      <c r="J19" s="19"/>
      <c r="K19" s="19"/>
      <c r="L19" s="19"/>
      <c r="M19" s="19"/>
      <c r="N19" s="19"/>
    </row>
    <row r="20" spans="1:14">
      <c r="A20" s="5">
        <v>7</v>
      </c>
      <c r="B20" s="4"/>
      <c r="C20" s="5"/>
      <c r="D20" s="14"/>
      <c r="E20" s="15"/>
      <c r="F20" s="5"/>
      <c r="G20" s="17"/>
      <c r="H20" s="19"/>
      <c r="I20" s="19"/>
      <c r="J20" s="19"/>
      <c r="K20" s="19"/>
      <c r="L20" s="19"/>
      <c r="M20" s="19"/>
      <c r="N20" s="19"/>
    </row>
    <row r="21" spans="1:14">
      <c r="A21" s="5">
        <v>8</v>
      </c>
      <c r="B21" s="6"/>
      <c r="C21" s="7"/>
      <c r="D21" s="14"/>
      <c r="E21" s="16"/>
      <c r="F21" s="7"/>
      <c r="G21" s="17"/>
      <c r="H21" s="19"/>
      <c r="I21" s="19"/>
      <c r="J21" s="19"/>
      <c r="K21" s="19"/>
      <c r="L21" s="19"/>
      <c r="M21" s="19"/>
      <c r="N21" s="19"/>
    </row>
    <row r="22" spans="1:14">
      <c r="A22" s="5">
        <v>9</v>
      </c>
      <c r="B22" s="8"/>
      <c r="C22" s="9"/>
      <c r="D22" s="14"/>
      <c r="E22" s="8"/>
      <c r="F22" s="10"/>
      <c r="G22" s="18"/>
      <c r="H22" s="19"/>
      <c r="I22" s="19"/>
      <c r="J22" s="19"/>
      <c r="K22" s="19"/>
      <c r="L22" s="19"/>
      <c r="M22" s="19"/>
      <c r="N22" s="19"/>
    </row>
    <row r="23" spans="1:14">
      <c r="A23" s="5">
        <v>10</v>
      </c>
      <c r="B23" s="8"/>
      <c r="C23" s="9"/>
      <c r="D23" s="14"/>
      <c r="E23" s="8"/>
      <c r="F23" s="10"/>
      <c r="G23" s="18"/>
      <c r="H23" s="19"/>
      <c r="I23" s="19"/>
      <c r="J23" s="19"/>
      <c r="K23" s="19"/>
      <c r="L23" s="19"/>
      <c r="M23" s="19"/>
      <c r="N23" s="19"/>
    </row>
    <row r="24" spans="1:14">
      <c r="A24" s="1"/>
      <c r="B24" s="3"/>
      <c r="C24" s="3"/>
      <c r="D24" s="3"/>
      <c r="E24" s="3"/>
      <c r="F24" s="11"/>
      <c r="G24" s="3"/>
    </row>
  </sheetData>
  <mergeCells count="22">
    <mergeCell ref="I10:I12"/>
    <mergeCell ref="J10:L10"/>
    <mergeCell ref="M10:M12"/>
    <mergeCell ref="N10:N12"/>
    <mergeCell ref="E11:E12"/>
    <mergeCell ref="F11:F12"/>
    <mergeCell ref="G11:G12"/>
    <mergeCell ref="J11:J12"/>
    <mergeCell ref="K11:K12"/>
    <mergeCell ref="L11:L12"/>
    <mergeCell ref="H10:H12"/>
    <mergeCell ref="A10:A12"/>
    <mergeCell ref="B10:B12"/>
    <mergeCell ref="C10:C12"/>
    <mergeCell ref="D10:D12"/>
    <mergeCell ref="E10:G10"/>
    <mergeCell ref="A9:G9"/>
    <mergeCell ref="A4:D4"/>
    <mergeCell ref="A5:N5"/>
    <mergeCell ref="A6:N6"/>
    <mergeCell ref="A7:N7"/>
    <mergeCell ref="A8:N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E303D-8403-47B3-8A75-1A4DFA01A180}">
  <dimension ref="A1:N76"/>
  <sheetViews>
    <sheetView tabSelected="1" topLeftCell="A45" zoomScale="70" zoomScaleNormal="70" workbookViewId="0">
      <selection activeCell="G50" sqref="G50"/>
    </sheetView>
  </sheetViews>
  <sheetFormatPr defaultRowHeight="15"/>
  <cols>
    <col min="1" max="1" width="4" bestFit="1" customWidth="1"/>
    <col min="2" max="2" width="35.85546875" customWidth="1"/>
    <col min="3" max="3" width="25.28515625" style="104" bestFit="1" customWidth="1"/>
    <col min="4" max="4" width="40.42578125" bestFit="1" customWidth="1"/>
    <col min="5" max="5" width="16.42578125" style="43" customWidth="1"/>
    <col min="6" max="6" width="34.28515625" customWidth="1"/>
    <col min="7" max="7" width="16.7109375" customWidth="1"/>
    <col min="8" max="8" width="48.28515625" customWidth="1"/>
    <col min="9" max="9" width="16.5703125" customWidth="1"/>
    <col min="10" max="10" width="20.140625" customWidth="1"/>
    <col min="11" max="11" width="21.85546875" customWidth="1"/>
    <col min="13" max="13" width="11.5703125" customWidth="1"/>
    <col min="14" max="14" width="15.5703125" customWidth="1"/>
  </cols>
  <sheetData>
    <row r="1" spans="1:14">
      <c r="A1" s="1"/>
      <c r="B1" s="2"/>
      <c r="C1" s="97"/>
      <c r="D1" s="1"/>
      <c r="E1" s="41"/>
      <c r="F1" s="1"/>
      <c r="G1" s="12"/>
    </row>
    <row r="2" spans="1:14">
      <c r="A2" s="1"/>
      <c r="B2" s="2"/>
      <c r="C2" s="98"/>
      <c r="D2" s="1"/>
      <c r="E2" s="1"/>
      <c r="F2" s="1"/>
      <c r="G2" s="13"/>
    </row>
    <row r="3" spans="1:14">
      <c r="A3" s="1"/>
      <c r="B3" s="2"/>
      <c r="C3" s="97"/>
      <c r="D3" s="1"/>
      <c r="E3" s="1"/>
      <c r="F3" s="1"/>
      <c r="G3" s="13"/>
    </row>
    <row r="4" spans="1:14" ht="15.6" customHeight="1">
      <c r="A4" s="2" t="s">
        <v>0</v>
      </c>
      <c r="B4" s="2"/>
      <c r="C4" s="98"/>
      <c r="D4" s="2"/>
      <c r="E4" s="1"/>
      <c r="F4" s="1"/>
      <c r="G4" s="2"/>
    </row>
    <row r="5" spans="1:14">
      <c r="A5" s="116" t="s">
        <v>1</v>
      </c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</row>
    <row r="6" spans="1:14">
      <c r="A6" s="116" t="s">
        <v>2</v>
      </c>
      <c r="B6" s="116"/>
      <c r="C6" s="116"/>
      <c r="D6" s="116"/>
      <c r="E6" s="116"/>
      <c r="F6" s="116"/>
      <c r="G6" s="116"/>
      <c r="H6" s="116"/>
      <c r="I6" s="116"/>
      <c r="J6" s="116"/>
      <c r="K6" s="116"/>
      <c r="L6" s="116"/>
      <c r="M6" s="116"/>
      <c r="N6" s="116"/>
    </row>
    <row r="7" spans="1:14">
      <c r="A7" s="116" t="s">
        <v>132</v>
      </c>
      <c r="B7" s="116"/>
      <c r="C7" s="116"/>
      <c r="D7" s="116"/>
      <c r="E7" s="116"/>
      <c r="F7" s="116"/>
      <c r="G7" s="116"/>
      <c r="H7" s="116"/>
      <c r="I7" s="116"/>
      <c r="J7" s="116"/>
      <c r="K7" s="116"/>
      <c r="L7" s="116"/>
      <c r="M7" s="116"/>
      <c r="N7" s="116"/>
    </row>
    <row r="8" spans="1:14">
      <c r="A8" s="116" t="s">
        <v>4</v>
      </c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</row>
    <row r="9" spans="1:14">
      <c r="A9" s="114"/>
      <c r="B9" s="115"/>
      <c r="C9" s="115"/>
      <c r="D9" s="115"/>
      <c r="E9" s="115"/>
      <c r="F9" s="115"/>
      <c r="G9" s="115"/>
    </row>
    <row r="10" spans="1:14" ht="15.6" customHeight="1">
      <c r="A10" s="117" t="s">
        <v>5</v>
      </c>
      <c r="B10" s="117" t="s">
        <v>6</v>
      </c>
      <c r="C10" s="118" t="s">
        <v>7</v>
      </c>
      <c r="D10" s="119" t="s">
        <v>8</v>
      </c>
      <c r="E10" s="117" t="s">
        <v>9</v>
      </c>
      <c r="F10" s="117"/>
      <c r="G10" s="117"/>
      <c r="H10" s="131" t="s">
        <v>10</v>
      </c>
      <c r="I10" s="120" t="s">
        <v>11</v>
      </c>
      <c r="J10" s="123" t="s">
        <v>12</v>
      </c>
      <c r="K10" s="124"/>
      <c r="L10" s="125"/>
      <c r="M10" s="120" t="s">
        <v>13</v>
      </c>
      <c r="N10" s="126" t="s">
        <v>14</v>
      </c>
    </row>
    <row r="11" spans="1:14" ht="15.6" customHeight="1">
      <c r="A11" s="117"/>
      <c r="B11" s="117"/>
      <c r="C11" s="118"/>
      <c r="D11" s="119"/>
      <c r="E11" s="117" t="s">
        <v>15</v>
      </c>
      <c r="F11" s="117" t="s">
        <v>16</v>
      </c>
      <c r="G11" s="117" t="s">
        <v>17</v>
      </c>
      <c r="H11" s="132"/>
      <c r="I11" s="121"/>
      <c r="J11" s="129" t="s">
        <v>18</v>
      </c>
      <c r="K11" s="129" t="s">
        <v>19</v>
      </c>
      <c r="L11" s="129" t="s">
        <v>20</v>
      </c>
      <c r="M11" s="121"/>
      <c r="N11" s="127"/>
    </row>
    <row r="12" spans="1:14" ht="8.4499999999999993" customHeight="1">
      <c r="A12" s="117"/>
      <c r="B12" s="117"/>
      <c r="C12" s="118"/>
      <c r="D12" s="119"/>
      <c r="E12" s="117"/>
      <c r="F12" s="117"/>
      <c r="G12" s="117"/>
      <c r="H12" s="133"/>
      <c r="I12" s="122"/>
      <c r="J12" s="130"/>
      <c r="K12" s="130"/>
      <c r="L12" s="130"/>
      <c r="M12" s="122"/>
      <c r="N12" s="128"/>
    </row>
    <row r="13" spans="1:14">
      <c r="A13" s="20">
        <v>1</v>
      </c>
      <c r="B13" s="20">
        <v>2</v>
      </c>
      <c r="C13" s="99">
        <v>3</v>
      </c>
      <c r="D13" s="20">
        <v>4</v>
      </c>
      <c r="E13" s="20">
        <v>5</v>
      </c>
      <c r="F13" s="20">
        <v>6</v>
      </c>
      <c r="G13" s="20">
        <v>7</v>
      </c>
      <c r="H13" s="20">
        <v>8</v>
      </c>
      <c r="I13" s="20">
        <v>9</v>
      </c>
      <c r="J13" s="20">
        <v>10</v>
      </c>
      <c r="K13" s="20">
        <v>11</v>
      </c>
      <c r="L13" s="20">
        <v>12</v>
      </c>
      <c r="M13" s="20">
        <v>13</v>
      </c>
      <c r="N13" s="20">
        <v>14</v>
      </c>
    </row>
    <row r="14" spans="1:14">
      <c r="A14" s="5">
        <v>1</v>
      </c>
      <c r="B14" s="4" t="s">
        <v>133</v>
      </c>
      <c r="C14" s="100" t="s">
        <v>134</v>
      </c>
      <c r="D14" s="23" t="s">
        <v>135</v>
      </c>
      <c r="E14" s="26" t="s">
        <v>24</v>
      </c>
      <c r="F14" s="63" t="s">
        <v>25</v>
      </c>
      <c r="G14" s="17"/>
      <c r="H14" s="4" t="s">
        <v>136</v>
      </c>
      <c r="I14" s="19" t="s">
        <v>137</v>
      </c>
      <c r="J14" s="5" t="s">
        <v>138</v>
      </c>
      <c r="K14" s="5" t="s">
        <v>139</v>
      </c>
      <c r="L14" s="19"/>
      <c r="M14" s="5">
        <v>522191</v>
      </c>
      <c r="N14" s="24">
        <v>5100000</v>
      </c>
    </row>
    <row r="15" spans="1:14">
      <c r="A15" s="26">
        <f>A14+1</f>
        <v>2</v>
      </c>
      <c r="B15" s="4" t="s">
        <v>140</v>
      </c>
      <c r="C15" s="101" t="s">
        <v>141</v>
      </c>
      <c r="D15" s="23" t="s">
        <v>142</v>
      </c>
      <c r="E15" s="26" t="s">
        <v>24</v>
      </c>
      <c r="F15" s="63" t="s">
        <v>143</v>
      </c>
      <c r="G15" s="81"/>
      <c r="H15" s="4" t="s">
        <v>144</v>
      </c>
      <c r="I15" s="19" t="s">
        <v>137</v>
      </c>
      <c r="J15" s="5" t="s">
        <v>138</v>
      </c>
      <c r="K15" s="5" t="s">
        <v>139</v>
      </c>
      <c r="L15" s="19"/>
      <c r="M15" s="5">
        <v>522191</v>
      </c>
      <c r="N15" s="24">
        <v>4700000</v>
      </c>
    </row>
    <row r="16" spans="1:14" ht="45.75">
      <c r="A16" s="26">
        <f t="shared" ref="A16:A76" si="0">A15+1</f>
        <v>3</v>
      </c>
      <c r="B16" s="4" t="s">
        <v>145</v>
      </c>
      <c r="C16" s="101" t="s">
        <v>146</v>
      </c>
      <c r="D16" s="23" t="s">
        <v>147</v>
      </c>
      <c r="E16" s="26" t="s">
        <v>148</v>
      </c>
      <c r="F16" s="63" t="s">
        <v>149</v>
      </c>
      <c r="G16" s="81"/>
      <c r="H16" s="4" t="s">
        <v>144</v>
      </c>
      <c r="I16" s="19" t="s">
        <v>137</v>
      </c>
      <c r="J16" s="5" t="s">
        <v>138</v>
      </c>
      <c r="K16" s="5" t="s">
        <v>139</v>
      </c>
      <c r="L16" s="19"/>
      <c r="M16" s="5">
        <v>522191</v>
      </c>
      <c r="N16" s="24">
        <v>4700000</v>
      </c>
    </row>
    <row r="17" spans="1:14">
      <c r="A17" s="26">
        <f t="shared" si="0"/>
        <v>4</v>
      </c>
      <c r="B17" s="4" t="s">
        <v>150</v>
      </c>
      <c r="C17" s="101" t="s">
        <v>151</v>
      </c>
      <c r="D17" s="23" t="s">
        <v>152</v>
      </c>
      <c r="E17" s="26" t="s">
        <v>24</v>
      </c>
      <c r="F17" s="63" t="s">
        <v>25</v>
      </c>
      <c r="G17" s="81"/>
      <c r="H17" s="4" t="s">
        <v>144</v>
      </c>
      <c r="I17" s="19" t="s">
        <v>137</v>
      </c>
      <c r="J17" s="5" t="s">
        <v>138</v>
      </c>
      <c r="K17" s="5" t="s">
        <v>139</v>
      </c>
      <c r="L17" s="19"/>
      <c r="M17" s="5">
        <v>522191</v>
      </c>
      <c r="N17" s="24">
        <v>4700000</v>
      </c>
    </row>
    <row r="18" spans="1:14">
      <c r="A18" s="26">
        <f t="shared" si="0"/>
        <v>5</v>
      </c>
      <c r="B18" s="4" t="s">
        <v>153</v>
      </c>
      <c r="C18" s="101" t="s">
        <v>154</v>
      </c>
      <c r="D18" s="23" t="s">
        <v>155</v>
      </c>
      <c r="E18" s="26" t="s">
        <v>24</v>
      </c>
      <c r="F18" s="63" t="s">
        <v>25</v>
      </c>
      <c r="G18" s="81"/>
      <c r="H18" s="4" t="s">
        <v>144</v>
      </c>
      <c r="I18" s="19" t="s">
        <v>137</v>
      </c>
      <c r="J18" s="5" t="s">
        <v>138</v>
      </c>
      <c r="K18" s="5" t="s">
        <v>139</v>
      </c>
      <c r="L18" s="19"/>
      <c r="M18" s="5">
        <v>522191</v>
      </c>
      <c r="N18" s="24">
        <v>4700000</v>
      </c>
    </row>
    <row r="19" spans="1:14">
      <c r="A19" s="26">
        <f t="shared" si="0"/>
        <v>6</v>
      </c>
      <c r="B19" s="4" t="s">
        <v>156</v>
      </c>
      <c r="C19" s="101" t="s">
        <v>157</v>
      </c>
      <c r="D19" s="23" t="s">
        <v>158</v>
      </c>
      <c r="E19" s="26" t="s">
        <v>24</v>
      </c>
      <c r="F19" s="63" t="s">
        <v>159</v>
      </c>
      <c r="G19" s="81"/>
      <c r="H19" s="4" t="s">
        <v>144</v>
      </c>
      <c r="I19" s="19" t="s">
        <v>137</v>
      </c>
      <c r="J19" s="5" t="s">
        <v>138</v>
      </c>
      <c r="K19" s="5" t="s">
        <v>139</v>
      </c>
      <c r="L19" s="19"/>
      <c r="M19" s="5">
        <v>522191</v>
      </c>
      <c r="N19" s="24">
        <v>4700000</v>
      </c>
    </row>
    <row r="20" spans="1:14">
      <c r="A20" s="26">
        <f t="shared" si="0"/>
        <v>7</v>
      </c>
      <c r="B20" s="4" t="s">
        <v>160</v>
      </c>
      <c r="C20" s="101" t="s">
        <v>161</v>
      </c>
      <c r="D20" s="23" t="s">
        <v>162</v>
      </c>
      <c r="E20" s="26" t="s">
        <v>163</v>
      </c>
      <c r="F20" s="63"/>
      <c r="G20" s="81"/>
      <c r="H20" s="4" t="s">
        <v>164</v>
      </c>
      <c r="I20" s="19" t="s">
        <v>137</v>
      </c>
      <c r="J20" s="5" t="s">
        <v>138</v>
      </c>
      <c r="K20" s="5" t="s">
        <v>139</v>
      </c>
      <c r="L20" s="19"/>
      <c r="M20" s="5">
        <v>522191</v>
      </c>
      <c r="N20" s="25">
        <v>3500000</v>
      </c>
    </row>
    <row r="21" spans="1:14">
      <c r="A21" s="26">
        <f t="shared" si="0"/>
        <v>8</v>
      </c>
      <c r="B21" s="4" t="s">
        <v>165</v>
      </c>
      <c r="C21" s="101" t="s">
        <v>166</v>
      </c>
      <c r="D21" s="23" t="s">
        <v>167</v>
      </c>
      <c r="E21" s="5" t="s">
        <v>24</v>
      </c>
      <c r="F21" s="62" t="s">
        <v>25</v>
      </c>
      <c r="G21" s="17"/>
      <c r="H21" s="4" t="s">
        <v>168</v>
      </c>
      <c r="I21" s="19" t="s">
        <v>169</v>
      </c>
      <c r="J21" s="5" t="s">
        <v>138</v>
      </c>
      <c r="K21" s="5" t="s">
        <v>139</v>
      </c>
      <c r="L21" s="19"/>
      <c r="M21" s="5">
        <v>522191</v>
      </c>
      <c r="N21" s="24">
        <v>5100000</v>
      </c>
    </row>
    <row r="22" spans="1:14">
      <c r="A22" s="26">
        <f t="shared" si="0"/>
        <v>9</v>
      </c>
      <c r="B22" s="4" t="s">
        <v>170</v>
      </c>
      <c r="C22" s="101" t="s">
        <v>171</v>
      </c>
      <c r="D22" s="23" t="s">
        <v>172</v>
      </c>
      <c r="E22" s="5" t="s">
        <v>24</v>
      </c>
      <c r="F22" s="62" t="s">
        <v>25</v>
      </c>
      <c r="G22" s="83"/>
      <c r="H22" s="4" t="s">
        <v>173</v>
      </c>
      <c r="I22" s="19" t="s">
        <v>169</v>
      </c>
      <c r="J22" s="5" t="s">
        <v>138</v>
      </c>
      <c r="K22" s="5" t="s">
        <v>139</v>
      </c>
      <c r="L22" s="19"/>
      <c r="M22" s="5">
        <v>522191</v>
      </c>
      <c r="N22" s="24">
        <v>4700000</v>
      </c>
    </row>
    <row r="23" spans="1:14">
      <c r="A23" s="26">
        <f t="shared" si="0"/>
        <v>10</v>
      </c>
      <c r="B23" s="4" t="s">
        <v>174</v>
      </c>
      <c r="C23" s="101" t="s">
        <v>175</v>
      </c>
      <c r="D23" s="23" t="s">
        <v>176</v>
      </c>
      <c r="E23" s="5" t="s">
        <v>148</v>
      </c>
      <c r="F23" s="62" t="s">
        <v>177</v>
      </c>
      <c r="G23" s="83"/>
      <c r="H23" s="4" t="s">
        <v>173</v>
      </c>
      <c r="I23" s="19" t="s">
        <v>169</v>
      </c>
      <c r="J23" s="5" t="s">
        <v>138</v>
      </c>
      <c r="K23" s="5" t="s">
        <v>139</v>
      </c>
      <c r="L23" s="19"/>
      <c r="M23" s="5">
        <v>522191</v>
      </c>
      <c r="N23" s="24">
        <v>4700000</v>
      </c>
    </row>
    <row r="24" spans="1:14">
      <c r="A24" s="26">
        <f t="shared" si="0"/>
        <v>11</v>
      </c>
      <c r="B24" s="4" t="s">
        <v>178</v>
      </c>
      <c r="C24" s="101" t="s">
        <v>179</v>
      </c>
      <c r="D24" s="23" t="s">
        <v>180</v>
      </c>
      <c r="E24" s="5" t="s">
        <v>24</v>
      </c>
      <c r="F24" s="62" t="s">
        <v>25</v>
      </c>
      <c r="G24" s="2"/>
      <c r="H24" s="4" t="s">
        <v>173</v>
      </c>
      <c r="I24" s="19" t="s">
        <v>169</v>
      </c>
      <c r="J24" s="5" t="s">
        <v>138</v>
      </c>
      <c r="K24" s="5" t="s">
        <v>139</v>
      </c>
      <c r="M24" s="5">
        <v>522191</v>
      </c>
      <c r="N24" s="24">
        <v>4700000</v>
      </c>
    </row>
    <row r="25" spans="1:14">
      <c r="A25" s="26">
        <f t="shared" si="0"/>
        <v>12</v>
      </c>
      <c r="B25" s="4" t="s">
        <v>181</v>
      </c>
      <c r="C25" s="101" t="s">
        <v>182</v>
      </c>
      <c r="D25" s="23" t="s">
        <v>183</v>
      </c>
      <c r="E25" s="5" t="s">
        <v>24</v>
      </c>
      <c r="F25" s="62" t="s">
        <v>25</v>
      </c>
      <c r="G25" s="2"/>
      <c r="H25" s="4" t="s">
        <v>173</v>
      </c>
      <c r="I25" s="19" t="s">
        <v>169</v>
      </c>
      <c r="J25" s="5" t="s">
        <v>138</v>
      </c>
      <c r="K25" s="5" t="s">
        <v>139</v>
      </c>
      <c r="M25" s="5">
        <v>522191</v>
      </c>
      <c r="N25" s="24">
        <v>4700000</v>
      </c>
    </row>
    <row r="26" spans="1:14">
      <c r="A26" s="26">
        <f t="shared" si="0"/>
        <v>13</v>
      </c>
      <c r="B26" s="4" t="s">
        <v>184</v>
      </c>
      <c r="C26" s="101" t="s">
        <v>185</v>
      </c>
      <c r="D26" s="23" t="s">
        <v>186</v>
      </c>
      <c r="E26" s="26" t="s">
        <v>24</v>
      </c>
      <c r="F26" s="63" t="s">
        <v>25</v>
      </c>
      <c r="G26" s="2"/>
      <c r="H26" s="4" t="s">
        <v>173</v>
      </c>
      <c r="I26" s="19" t="s">
        <v>169</v>
      </c>
      <c r="J26" s="5" t="s">
        <v>138</v>
      </c>
      <c r="K26" s="5" t="s">
        <v>139</v>
      </c>
      <c r="M26" s="5">
        <v>522191</v>
      </c>
      <c r="N26" s="24">
        <v>4700000</v>
      </c>
    </row>
    <row r="27" spans="1:14">
      <c r="A27" s="26">
        <f t="shared" si="0"/>
        <v>14</v>
      </c>
      <c r="B27" s="4" t="s">
        <v>187</v>
      </c>
      <c r="C27" s="101" t="s">
        <v>188</v>
      </c>
      <c r="D27" s="23" t="s">
        <v>189</v>
      </c>
      <c r="E27" s="79" t="s">
        <v>190</v>
      </c>
      <c r="F27" s="63" t="s">
        <v>191</v>
      </c>
      <c r="H27" s="4" t="s">
        <v>192</v>
      </c>
      <c r="I27" s="19" t="s">
        <v>169</v>
      </c>
      <c r="J27" s="5" t="s">
        <v>138</v>
      </c>
      <c r="K27" s="5" t="s">
        <v>139</v>
      </c>
      <c r="M27" s="5">
        <v>522191</v>
      </c>
      <c r="N27" s="25">
        <v>3500000</v>
      </c>
    </row>
    <row r="28" spans="1:14">
      <c r="A28" s="26">
        <f t="shared" si="0"/>
        <v>15</v>
      </c>
      <c r="B28" s="4" t="s">
        <v>193</v>
      </c>
      <c r="C28" s="100" t="s">
        <v>194</v>
      </c>
      <c r="D28" s="23" t="s">
        <v>195</v>
      </c>
      <c r="E28" s="5" t="s">
        <v>24</v>
      </c>
      <c r="F28" s="62" t="s">
        <v>196</v>
      </c>
      <c r="G28" s="2"/>
      <c r="H28" s="4" t="s">
        <v>197</v>
      </c>
      <c r="I28" s="19" t="s">
        <v>198</v>
      </c>
      <c r="J28" s="5" t="s">
        <v>138</v>
      </c>
      <c r="K28" s="5" t="s">
        <v>139</v>
      </c>
      <c r="M28" s="5">
        <v>522191</v>
      </c>
      <c r="N28" s="24">
        <v>5100000</v>
      </c>
    </row>
    <row r="29" spans="1:14" ht="15.75">
      <c r="A29" s="26">
        <f t="shared" si="0"/>
        <v>16</v>
      </c>
      <c r="B29" s="4" t="s">
        <v>199</v>
      </c>
      <c r="C29" s="101" t="s">
        <v>200</v>
      </c>
      <c r="D29" s="23" t="s">
        <v>201</v>
      </c>
      <c r="E29" s="26" t="s">
        <v>24</v>
      </c>
      <c r="F29" s="63" t="s">
        <v>25</v>
      </c>
      <c r="G29" s="82"/>
      <c r="H29" s="4" t="s">
        <v>202</v>
      </c>
      <c r="I29" s="19" t="s">
        <v>198</v>
      </c>
      <c r="J29" s="5" t="s">
        <v>138</v>
      </c>
      <c r="K29" s="5" t="s">
        <v>139</v>
      </c>
      <c r="M29" s="5">
        <v>522191</v>
      </c>
      <c r="N29" s="24">
        <v>4700000</v>
      </c>
    </row>
    <row r="30" spans="1:14" ht="15.75">
      <c r="A30" s="26">
        <f t="shared" si="0"/>
        <v>17</v>
      </c>
      <c r="B30" s="4" t="s">
        <v>203</v>
      </c>
      <c r="C30" s="101" t="s">
        <v>204</v>
      </c>
      <c r="D30" s="23" t="s">
        <v>205</v>
      </c>
      <c r="E30" s="26" t="s">
        <v>24</v>
      </c>
      <c r="F30" s="63" t="s">
        <v>25</v>
      </c>
      <c r="G30" s="82"/>
      <c r="H30" s="4" t="s">
        <v>202</v>
      </c>
      <c r="I30" s="19" t="s">
        <v>198</v>
      </c>
      <c r="J30" s="5" t="s">
        <v>138</v>
      </c>
      <c r="K30" s="5" t="s">
        <v>139</v>
      </c>
      <c r="M30" s="5">
        <v>522191</v>
      </c>
      <c r="N30" s="24">
        <v>4700000</v>
      </c>
    </row>
    <row r="31" spans="1:14" ht="30.75">
      <c r="A31" s="26">
        <f t="shared" si="0"/>
        <v>18</v>
      </c>
      <c r="B31" s="4" t="s">
        <v>206</v>
      </c>
      <c r="C31" s="101" t="s">
        <v>207</v>
      </c>
      <c r="D31" s="23" t="s">
        <v>208</v>
      </c>
      <c r="E31" s="26" t="s">
        <v>148</v>
      </c>
      <c r="F31" s="63" t="s">
        <v>209</v>
      </c>
      <c r="G31" s="3"/>
      <c r="H31" s="4" t="s">
        <v>202</v>
      </c>
      <c r="I31" s="19" t="s">
        <v>198</v>
      </c>
      <c r="J31" s="5" t="s">
        <v>138</v>
      </c>
      <c r="K31" s="5" t="s">
        <v>139</v>
      </c>
      <c r="M31" s="5">
        <v>522191</v>
      </c>
      <c r="N31" s="24">
        <v>4700000</v>
      </c>
    </row>
    <row r="32" spans="1:14">
      <c r="A32" s="26">
        <f t="shared" si="0"/>
        <v>19</v>
      </c>
      <c r="B32" s="4" t="s">
        <v>210</v>
      </c>
      <c r="C32" s="101" t="s">
        <v>211</v>
      </c>
      <c r="D32" s="23" t="s">
        <v>212</v>
      </c>
      <c r="E32" s="80" t="s">
        <v>24</v>
      </c>
      <c r="F32" s="63" t="s">
        <v>25</v>
      </c>
      <c r="H32" s="4" t="s">
        <v>202</v>
      </c>
      <c r="I32" s="19" t="s">
        <v>198</v>
      </c>
      <c r="J32" s="5" t="s">
        <v>138</v>
      </c>
      <c r="K32" s="5" t="s">
        <v>139</v>
      </c>
      <c r="M32" s="5">
        <v>522191</v>
      </c>
      <c r="N32" s="24">
        <v>4700000</v>
      </c>
    </row>
    <row r="33" spans="1:14">
      <c r="A33" s="26">
        <f t="shared" si="0"/>
        <v>20</v>
      </c>
      <c r="B33" s="4" t="s">
        <v>213</v>
      </c>
      <c r="C33" s="101" t="s">
        <v>214</v>
      </c>
      <c r="D33" s="23" t="s">
        <v>215</v>
      </c>
      <c r="E33" s="26" t="s">
        <v>24</v>
      </c>
      <c r="F33" s="63" t="s">
        <v>25</v>
      </c>
      <c r="H33" s="4" t="s">
        <v>202</v>
      </c>
      <c r="I33" s="19" t="s">
        <v>198</v>
      </c>
      <c r="J33" s="5" t="s">
        <v>138</v>
      </c>
      <c r="K33" s="5" t="s">
        <v>139</v>
      </c>
      <c r="M33" s="5">
        <v>522191</v>
      </c>
      <c r="N33" s="24">
        <v>4700000</v>
      </c>
    </row>
    <row r="34" spans="1:14">
      <c r="A34" s="26">
        <f t="shared" si="0"/>
        <v>21</v>
      </c>
      <c r="B34" s="4" t="s">
        <v>216</v>
      </c>
      <c r="C34" s="101" t="s">
        <v>217</v>
      </c>
      <c r="D34" s="23" t="s">
        <v>218</v>
      </c>
      <c r="E34" s="26" t="s">
        <v>24</v>
      </c>
      <c r="F34" s="63" t="s">
        <v>219</v>
      </c>
      <c r="H34" s="4" t="s">
        <v>220</v>
      </c>
      <c r="I34" s="19" t="s">
        <v>198</v>
      </c>
      <c r="J34" s="5" t="s">
        <v>138</v>
      </c>
      <c r="K34" s="5" t="s">
        <v>139</v>
      </c>
      <c r="M34" s="5">
        <v>522191</v>
      </c>
      <c r="N34" s="25">
        <v>3500000</v>
      </c>
    </row>
    <row r="35" spans="1:14" ht="15.75">
      <c r="A35" s="26">
        <f t="shared" si="0"/>
        <v>22</v>
      </c>
      <c r="B35" s="27" t="s">
        <v>221</v>
      </c>
      <c r="C35" s="101" t="s">
        <v>222</v>
      </c>
      <c r="D35" s="23" t="s">
        <v>223</v>
      </c>
      <c r="E35" s="26" t="s">
        <v>24</v>
      </c>
      <c r="F35" s="63" t="s">
        <v>224</v>
      </c>
      <c r="G35" s="69" t="s">
        <v>41</v>
      </c>
      <c r="H35" s="27" t="s">
        <v>225</v>
      </c>
      <c r="J35" s="26" t="s">
        <v>226</v>
      </c>
      <c r="K35" s="26" t="s">
        <v>227</v>
      </c>
      <c r="M35" s="26">
        <v>522191</v>
      </c>
      <c r="N35" s="25">
        <v>3960000</v>
      </c>
    </row>
    <row r="36" spans="1:14" ht="15.75">
      <c r="A36" s="26">
        <f t="shared" si="0"/>
        <v>23</v>
      </c>
      <c r="B36" s="27" t="s">
        <v>228</v>
      </c>
      <c r="C36" s="101" t="s">
        <v>229</v>
      </c>
      <c r="D36" s="23" t="s">
        <v>230</v>
      </c>
      <c r="E36" s="26" t="s">
        <v>24</v>
      </c>
      <c r="F36" s="63" t="s">
        <v>231</v>
      </c>
      <c r="G36" s="69" t="s">
        <v>41</v>
      </c>
      <c r="H36" s="27" t="s">
        <v>225</v>
      </c>
      <c r="J36" s="26" t="s">
        <v>226</v>
      </c>
      <c r="K36" s="26" t="s">
        <v>227</v>
      </c>
      <c r="M36" s="26">
        <v>522191</v>
      </c>
      <c r="N36" s="25">
        <v>3960000</v>
      </c>
    </row>
    <row r="37" spans="1:14" ht="15.75">
      <c r="A37" s="26">
        <f t="shared" si="0"/>
        <v>24</v>
      </c>
      <c r="B37" s="27" t="s">
        <v>232</v>
      </c>
      <c r="C37" s="101" t="s">
        <v>233</v>
      </c>
      <c r="D37" s="23" t="s">
        <v>234</v>
      </c>
      <c r="E37" s="26" t="s">
        <v>24</v>
      </c>
      <c r="F37" s="63" t="s">
        <v>25</v>
      </c>
      <c r="G37" s="69" t="s">
        <v>41</v>
      </c>
      <c r="H37" s="27" t="s">
        <v>225</v>
      </c>
      <c r="J37" s="26" t="s">
        <v>226</v>
      </c>
      <c r="K37" s="26" t="s">
        <v>227</v>
      </c>
      <c r="M37" s="26">
        <v>522191</v>
      </c>
      <c r="N37" s="25">
        <v>3900000</v>
      </c>
    </row>
    <row r="38" spans="1:14" ht="15.75">
      <c r="A38" s="26">
        <f t="shared" si="0"/>
        <v>25</v>
      </c>
      <c r="B38" s="27" t="s">
        <v>235</v>
      </c>
      <c r="C38" s="102" t="s">
        <v>236</v>
      </c>
      <c r="D38" s="65" t="s">
        <v>237</v>
      </c>
      <c r="E38" s="66" t="s">
        <v>190</v>
      </c>
      <c r="F38" s="67" t="s">
        <v>238</v>
      </c>
      <c r="G38" s="69" t="s">
        <v>41</v>
      </c>
      <c r="H38" s="27" t="s">
        <v>225</v>
      </c>
      <c r="J38" s="26" t="s">
        <v>226</v>
      </c>
      <c r="K38" s="26" t="s">
        <v>227</v>
      </c>
      <c r="M38" s="26">
        <v>522191</v>
      </c>
      <c r="N38" s="25">
        <v>3900000</v>
      </c>
    </row>
    <row r="39" spans="1:14" ht="15.75">
      <c r="A39" s="26">
        <f t="shared" si="0"/>
        <v>26</v>
      </c>
      <c r="B39" s="64" t="s">
        <v>239</v>
      </c>
      <c r="C39" s="103" t="s">
        <v>240</v>
      </c>
      <c r="D39" s="68" t="s">
        <v>241</v>
      </c>
      <c r="E39" s="26" t="s">
        <v>24</v>
      </c>
      <c r="F39" s="68" t="s">
        <v>242</v>
      </c>
      <c r="G39" s="69" t="s">
        <v>41</v>
      </c>
      <c r="H39" s="27" t="s">
        <v>225</v>
      </c>
      <c r="J39" s="26" t="s">
        <v>226</v>
      </c>
      <c r="K39" s="26" t="s">
        <v>227</v>
      </c>
      <c r="M39" s="26">
        <v>522191</v>
      </c>
      <c r="N39" s="25">
        <v>3960000</v>
      </c>
    </row>
    <row r="40" spans="1:14" ht="15.75">
      <c r="A40" s="26">
        <f t="shared" si="0"/>
        <v>27</v>
      </c>
      <c r="B40" s="64" t="s">
        <v>243</v>
      </c>
      <c r="C40" s="103" t="s">
        <v>244</v>
      </c>
      <c r="D40" s="68" t="s">
        <v>245</v>
      </c>
      <c r="E40" s="26" t="s">
        <v>24</v>
      </c>
      <c r="F40" s="68" t="s">
        <v>246</v>
      </c>
      <c r="G40" s="69" t="s">
        <v>41</v>
      </c>
      <c r="H40" s="27" t="s">
        <v>225</v>
      </c>
      <c r="J40" s="26" t="s">
        <v>226</v>
      </c>
      <c r="K40" s="26" t="s">
        <v>227</v>
      </c>
      <c r="M40" s="26">
        <v>522191</v>
      </c>
      <c r="N40" s="25">
        <v>3960000</v>
      </c>
    </row>
    <row r="41" spans="1:14" ht="15.75">
      <c r="A41" s="26">
        <f t="shared" si="0"/>
        <v>28</v>
      </c>
      <c r="B41" s="64" t="s">
        <v>247</v>
      </c>
      <c r="C41" s="103" t="s">
        <v>248</v>
      </c>
      <c r="D41" s="68" t="s">
        <v>249</v>
      </c>
      <c r="E41" s="26" t="s">
        <v>24</v>
      </c>
      <c r="F41" s="68" t="s">
        <v>250</v>
      </c>
      <c r="G41" s="69" t="s">
        <v>41</v>
      </c>
      <c r="H41" s="27" t="s">
        <v>225</v>
      </c>
      <c r="J41" s="26" t="s">
        <v>226</v>
      </c>
      <c r="K41" s="26" t="s">
        <v>227</v>
      </c>
      <c r="M41" s="26">
        <v>522191</v>
      </c>
      <c r="N41" s="25">
        <v>3960000</v>
      </c>
    </row>
    <row r="42" spans="1:14" ht="15.75">
      <c r="A42" s="26">
        <f t="shared" si="0"/>
        <v>29</v>
      </c>
      <c r="B42" s="64" t="s">
        <v>251</v>
      </c>
      <c r="C42" s="103" t="s">
        <v>252</v>
      </c>
      <c r="D42" s="68" t="s">
        <v>253</v>
      </c>
      <c r="E42" s="26" t="s">
        <v>24</v>
      </c>
      <c r="F42" s="68" t="s">
        <v>25</v>
      </c>
      <c r="G42" s="69" t="s">
        <v>41</v>
      </c>
      <c r="H42" s="27" t="s">
        <v>225</v>
      </c>
      <c r="J42" s="26" t="s">
        <v>226</v>
      </c>
      <c r="K42" s="26" t="s">
        <v>227</v>
      </c>
      <c r="M42" s="26">
        <v>522191</v>
      </c>
      <c r="N42" s="25">
        <v>3960000</v>
      </c>
    </row>
    <row r="43" spans="1:14" ht="15.75">
      <c r="A43" s="26">
        <f t="shared" si="0"/>
        <v>30</v>
      </c>
      <c r="B43" s="64" t="s">
        <v>254</v>
      </c>
      <c r="C43" s="103" t="s">
        <v>255</v>
      </c>
      <c r="D43" s="68" t="s">
        <v>256</v>
      </c>
      <c r="E43" s="26" t="s">
        <v>24</v>
      </c>
      <c r="F43" s="68" t="s">
        <v>257</v>
      </c>
      <c r="G43" s="69" t="s">
        <v>41</v>
      </c>
      <c r="H43" s="27" t="s">
        <v>225</v>
      </c>
      <c r="J43" s="26" t="s">
        <v>226</v>
      </c>
      <c r="K43" s="26" t="s">
        <v>227</v>
      </c>
      <c r="M43" s="26">
        <v>522191</v>
      </c>
      <c r="N43" s="25">
        <v>3960000</v>
      </c>
    </row>
    <row r="44" spans="1:14" ht="15.75">
      <c r="A44" s="26">
        <f t="shared" si="0"/>
        <v>31</v>
      </c>
      <c r="B44" s="64" t="s">
        <v>258</v>
      </c>
      <c r="C44" s="103" t="s">
        <v>259</v>
      </c>
      <c r="D44" s="68" t="s">
        <v>260</v>
      </c>
      <c r="E44" s="26" t="s">
        <v>24</v>
      </c>
      <c r="F44" s="68" t="s">
        <v>25</v>
      </c>
      <c r="G44" s="69" t="s">
        <v>41</v>
      </c>
      <c r="H44" s="27" t="s">
        <v>225</v>
      </c>
      <c r="J44" s="26" t="s">
        <v>226</v>
      </c>
      <c r="K44" s="26" t="s">
        <v>227</v>
      </c>
      <c r="M44" s="26">
        <v>522191</v>
      </c>
      <c r="N44" s="25">
        <v>3960000</v>
      </c>
    </row>
    <row r="45" spans="1:14" ht="45.75">
      <c r="A45" s="26">
        <f t="shared" si="0"/>
        <v>32</v>
      </c>
      <c r="B45" s="84" t="s">
        <v>261</v>
      </c>
      <c r="C45" s="106" t="s">
        <v>262</v>
      </c>
      <c r="D45" s="85" t="s">
        <v>263</v>
      </c>
      <c r="E45" s="85" t="s">
        <v>24</v>
      </c>
      <c r="F45" s="86" t="s">
        <v>264</v>
      </c>
      <c r="G45" s="86" t="s">
        <v>265</v>
      </c>
      <c r="H45" s="84" t="s">
        <v>266</v>
      </c>
      <c r="I45" s="87"/>
      <c r="J45" s="88">
        <v>46064</v>
      </c>
      <c r="K45" s="88">
        <v>46214</v>
      </c>
      <c r="L45" s="87"/>
      <c r="M45" s="85">
        <v>522191</v>
      </c>
      <c r="N45" s="84">
        <v>8400000</v>
      </c>
    </row>
    <row r="46" spans="1:14" ht="30.75">
      <c r="A46" s="26">
        <f t="shared" si="0"/>
        <v>33</v>
      </c>
      <c r="B46" s="89" t="s">
        <v>267</v>
      </c>
      <c r="C46" s="107" t="s">
        <v>268</v>
      </c>
      <c r="D46" s="90" t="s">
        <v>269</v>
      </c>
      <c r="E46" s="90" t="s">
        <v>24</v>
      </c>
      <c r="F46" s="90" t="s">
        <v>25</v>
      </c>
      <c r="G46" s="90" t="s">
        <v>270</v>
      </c>
      <c r="H46" s="89" t="s">
        <v>266</v>
      </c>
      <c r="I46" s="91"/>
      <c r="J46" s="92">
        <v>46064</v>
      </c>
      <c r="K46" s="92">
        <v>46214</v>
      </c>
      <c r="L46" s="91"/>
      <c r="M46" s="90">
        <v>522191</v>
      </c>
      <c r="N46" s="93">
        <v>8400000</v>
      </c>
    </row>
    <row r="47" spans="1:14" ht="30.75">
      <c r="A47" s="26">
        <f t="shared" si="0"/>
        <v>34</v>
      </c>
      <c r="B47" s="93" t="s">
        <v>271</v>
      </c>
      <c r="C47" s="107" t="s">
        <v>272</v>
      </c>
      <c r="D47" s="90" t="s">
        <v>273</v>
      </c>
      <c r="E47" s="90" t="s">
        <v>24</v>
      </c>
      <c r="F47" s="90" t="s">
        <v>25</v>
      </c>
      <c r="G47" s="91"/>
      <c r="H47" s="93" t="s">
        <v>266</v>
      </c>
      <c r="I47" s="91"/>
      <c r="J47" s="92">
        <v>46064</v>
      </c>
      <c r="K47" s="92">
        <v>46214</v>
      </c>
      <c r="L47" s="91"/>
      <c r="M47" s="90">
        <v>522191</v>
      </c>
      <c r="N47" s="93">
        <v>8400000</v>
      </c>
    </row>
    <row r="48" spans="1:14" ht="45.75">
      <c r="A48" s="26">
        <f t="shared" si="0"/>
        <v>35</v>
      </c>
      <c r="B48" s="89" t="s">
        <v>274</v>
      </c>
      <c r="C48" s="107" t="s">
        <v>275</v>
      </c>
      <c r="D48" s="90" t="s">
        <v>276</v>
      </c>
      <c r="E48" s="90" t="s">
        <v>24</v>
      </c>
      <c r="F48" s="90" t="s">
        <v>25</v>
      </c>
      <c r="G48" s="91"/>
      <c r="H48" s="93" t="s">
        <v>277</v>
      </c>
      <c r="I48" s="91"/>
      <c r="J48" s="92">
        <v>46064</v>
      </c>
      <c r="K48" s="92">
        <v>46242</v>
      </c>
      <c r="L48" s="91"/>
      <c r="M48" s="90">
        <v>522191</v>
      </c>
      <c r="N48" s="93">
        <v>8400000</v>
      </c>
    </row>
    <row r="49" spans="1:14" ht="45.75">
      <c r="A49" s="26">
        <f t="shared" si="0"/>
        <v>36</v>
      </c>
      <c r="B49" s="93" t="s">
        <v>278</v>
      </c>
      <c r="C49" s="107" t="s">
        <v>279</v>
      </c>
      <c r="D49" s="90" t="s">
        <v>280</v>
      </c>
      <c r="E49" s="90" t="s">
        <v>24</v>
      </c>
      <c r="F49" s="90" t="s">
        <v>25</v>
      </c>
      <c r="G49" s="91"/>
      <c r="H49" s="93" t="s">
        <v>281</v>
      </c>
      <c r="I49" s="91"/>
      <c r="J49" s="92">
        <v>46064</v>
      </c>
      <c r="K49" s="92">
        <v>46242</v>
      </c>
      <c r="L49" s="91"/>
      <c r="M49" s="90">
        <v>522191</v>
      </c>
      <c r="N49" s="93">
        <v>8400000</v>
      </c>
    </row>
    <row r="50" spans="1:14" ht="45.75">
      <c r="A50" s="26">
        <f t="shared" si="0"/>
        <v>37</v>
      </c>
      <c r="B50" s="89" t="s">
        <v>282</v>
      </c>
      <c r="C50" s="112" t="s">
        <v>283</v>
      </c>
      <c r="D50" s="113" t="s">
        <v>284</v>
      </c>
      <c r="E50" s="113" t="s">
        <v>24</v>
      </c>
      <c r="F50" s="113" t="s">
        <v>25</v>
      </c>
      <c r="G50" s="113" t="s">
        <v>285</v>
      </c>
      <c r="H50" s="89" t="s">
        <v>281</v>
      </c>
      <c r="I50" s="91"/>
      <c r="J50" s="92">
        <v>46064</v>
      </c>
      <c r="K50" s="92">
        <v>46242</v>
      </c>
      <c r="L50" s="91"/>
      <c r="M50" s="90">
        <v>522191</v>
      </c>
      <c r="N50" s="93">
        <v>8400000</v>
      </c>
    </row>
    <row r="51" spans="1:14" ht="45.75">
      <c r="A51" s="26">
        <f t="shared" si="0"/>
        <v>38</v>
      </c>
      <c r="B51" s="93" t="s">
        <v>286</v>
      </c>
      <c r="C51" s="112" t="s">
        <v>287</v>
      </c>
      <c r="D51" s="113" t="s">
        <v>288</v>
      </c>
      <c r="E51" s="113" t="s">
        <v>24</v>
      </c>
      <c r="F51" s="113" t="s">
        <v>25</v>
      </c>
      <c r="G51" s="111" t="s">
        <v>265</v>
      </c>
      <c r="H51" s="93" t="s">
        <v>281</v>
      </c>
      <c r="I51" s="91"/>
      <c r="J51" s="92">
        <v>46064</v>
      </c>
      <c r="K51" s="92">
        <v>46242</v>
      </c>
      <c r="L51" s="91"/>
      <c r="M51" s="90">
        <v>522191</v>
      </c>
      <c r="N51" s="93">
        <v>8400000</v>
      </c>
    </row>
    <row r="52" spans="1:14" ht="30.75">
      <c r="A52" s="26">
        <f t="shared" si="0"/>
        <v>39</v>
      </c>
      <c r="B52" s="89" t="s">
        <v>289</v>
      </c>
      <c r="C52" s="108" t="s">
        <v>290</v>
      </c>
      <c r="D52" s="90" t="s">
        <v>291</v>
      </c>
      <c r="E52" s="90" t="s">
        <v>24</v>
      </c>
      <c r="F52" s="90" t="s">
        <v>25</v>
      </c>
      <c r="G52" s="90" t="s">
        <v>292</v>
      </c>
      <c r="H52" s="89" t="s">
        <v>293</v>
      </c>
      <c r="I52" s="91"/>
      <c r="J52" s="92">
        <v>46064</v>
      </c>
      <c r="K52" s="92">
        <v>46303</v>
      </c>
      <c r="L52" s="91"/>
      <c r="M52" s="90">
        <v>522191</v>
      </c>
      <c r="N52" s="93">
        <v>8400000</v>
      </c>
    </row>
    <row r="53" spans="1:14" ht="45.75">
      <c r="A53" s="26">
        <f t="shared" si="0"/>
        <v>40</v>
      </c>
      <c r="B53" s="93" t="s">
        <v>294</v>
      </c>
      <c r="C53" s="108" t="s">
        <v>295</v>
      </c>
      <c r="D53" s="90" t="s">
        <v>296</v>
      </c>
      <c r="E53" s="90" t="s">
        <v>24</v>
      </c>
      <c r="F53" s="90" t="s">
        <v>25</v>
      </c>
      <c r="G53" s="94" t="s">
        <v>265</v>
      </c>
      <c r="H53" s="93" t="s">
        <v>293</v>
      </c>
      <c r="I53" s="91"/>
      <c r="J53" s="92">
        <v>46093</v>
      </c>
      <c r="K53" s="92">
        <v>46333</v>
      </c>
      <c r="L53" s="91"/>
      <c r="M53" s="90">
        <v>522191</v>
      </c>
      <c r="N53" s="93">
        <v>8400000</v>
      </c>
    </row>
    <row r="54" spans="1:14" ht="30.75">
      <c r="A54" s="26">
        <f t="shared" si="0"/>
        <v>41</v>
      </c>
      <c r="B54" s="89" t="s">
        <v>297</v>
      </c>
      <c r="C54" s="108" t="s">
        <v>298</v>
      </c>
      <c r="D54" s="90" t="s">
        <v>299</v>
      </c>
      <c r="E54" s="90" t="s">
        <v>24</v>
      </c>
      <c r="F54" s="90" t="s">
        <v>25</v>
      </c>
      <c r="G54" s="91"/>
      <c r="H54" s="89" t="s">
        <v>293</v>
      </c>
      <c r="I54" s="91"/>
      <c r="J54" s="92">
        <v>46064</v>
      </c>
      <c r="K54" s="92">
        <v>46303</v>
      </c>
      <c r="L54" s="91"/>
      <c r="M54" s="90">
        <v>522191</v>
      </c>
      <c r="N54" s="93">
        <v>8400000</v>
      </c>
    </row>
    <row r="55" spans="1:14" ht="45.75">
      <c r="A55" s="26">
        <f t="shared" si="0"/>
        <v>42</v>
      </c>
      <c r="B55" s="93" t="s">
        <v>300</v>
      </c>
      <c r="C55" s="108" t="s">
        <v>301</v>
      </c>
      <c r="D55" s="90" t="s">
        <v>302</v>
      </c>
      <c r="E55" s="90" t="s">
        <v>24</v>
      </c>
      <c r="F55" s="90" t="s">
        <v>25</v>
      </c>
      <c r="G55" s="94" t="s">
        <v>265</v>
      </c>
      <c r="H55" s="93" t="s">
        <v>293</v>
      </c>
      <c r="I55" s="91"/>
      <c r="J55" s="92">
        <v>46064</v>
      </c>
      <c r="K55" s="92">
        <v>46303</v>
      </c>
      <c r="L55" s="91"/>
      <c r="M55" s="90">
        <v>522191</v>
      </c>
      <c r="N55" s="93">
        <v>8400000</v>
      </c>
    </row>
    <row r="56" spans="1:14" ht="30.75">
      <c r="A56" s="26">
        <f t="shared" si="0"/>
        <v>43</v>
      </c>
      <c r="B56" s="89" t="s">
        <v>303</v>
      </c>
      <c r="C56" s="107" t="s">
        <v>304</v>
      </c>
      <c r="D56" s="90" t="s">
        <v>305</v>
      </c>
      <c r="E56" s="90" t="s">
        <v>24</v>
      </c>
      <c r="F56" s="90" t="s">
        <v>25</v>
      </c>
      <c r="G56" s="91"/>
      <c r="H56" s="89" t="s">
        <v>293</v>
      </c>
      <c r="I56" s="91"/>
      <c r="J56" s="92">
        <v>46064</v>
      </c>
      <c r="K56" s="92">
        <v>46303</v>
      </c>
      <c r="L56" s="91"/>
      <c r="M56" s="90">
        <v>522191</v>
      </c>
      <c r="N56" s="93">
        <v>8400000</v>
      </c>
    </row>
    <row r="57" spans="1:14" ht="30.75">
      <c r="A57" s="26">
        <f t="shared" si="0"/>
        <v>44</v>
      </c>
      <c r="B57" s="93" t="s">
        <v>306</v>
      </c>
      <c r="C57" s="107" t="s">
        <v>307</v>
      </c>
      <c r="D57" s="90" t="s">
        <v>308</v>
      </c>
      <c r="E57" s="90" t="s">
        <v>24</v>
      </c>
      <c r="F57" s="90" t="s">
        <v>25</v>
      </c>
      <c r="G57" s="91"/>
      <c r="H57" s="93" t="s">
        <v>309</v>
      </c>
      <c r="I57" s="91"/>
      <c r="J57" s="90" t="s">
        <v>310</v>
      </c>
      <c r="K57" s="92">
        <v>46244</v>
      </c>
      <c r="L57" s="91"/>
      <c r="M57" s="90">
        <v>522191</v>
      </c>
      <c r="N57" s="93">
        <v>8400000</v>
      </c>
    </row>
    <row r="58" spans="1:14" ht="30.75">
      <c r="A58" s="26">
        <f t="shared" si="0"/>
        <v>45</v>
      </c>
      <c r="B58" s="89" t="s">
        <v>311</v>
      </c>
      <c r="C58" s="107" t="s">
        <v>312</v>
      </c>
      <c r="D58" s="90" t="s">
        <v>313</v>
      </c>
      <c r="E58" s="90" t="s">
        <v>24</v>
      </c>
      <c r="F58" s="90" t="s">
        <v>25</v>
      </c>
      <c r="G58" s="91"/>
      <c r="H58" s="89" t="s">
        <v>309</v>
      </c>
      <c r="I58" s="91"/>
      <c r="J58" s="90" t="s">
        <v>310</v>
      </c>
      <c r="K58" s="92">
        <v>46244</v>
      </c>
      <c r="L58" s="91"/>
      <c r="M58" s="90">
        <v>522191</v>
      </c>
      <c r="N58" s="93">
        <v>8400000</v>
      </c>
    </row>
    <row r="59" spans="1:14" ht="30.75">
      <c r="A59" s="26">
        <f t="shared" si="0"/>
        <v>46</v>
      </c>
      <c r="B59" s="93" t="s">
        <v>314</v>
      </c>
      <c r="C59" s="107" t="s">
        <v>315</v>
      </c>
      <c r="D59" s="90" t="s">
        <v>316</v>
      </c>
      <c r="E59" s="90" t="s">
        <v>67</v>
      </c>
      <c r="F59" s="90" t="s">
        <v>25</v>
      </c>
      <c r="G59" s="91"/>
      <c r="H59" s="93" t="s">
        <v>309</v>
      </c>
      <c r="I59" s="91"/>
      <c r="J59" s="90" t="s">
        <v>310</v>
      </c>
      <c r="K59" s="92">
        <v>46244</v>
      </c>
      <c r="L59" s="91"/>
      <c r="M59" s="90">
        <v>522191</v>
      </c>
      <c r="N59" s="93">
        <v>8400000</v>
      </c>
    </row>
    <row r="60" spans="1:14" ht="30.75">
      <c r="A60" s="26">
        <f t="shared" si="0"/>
        <v>47</v>
      </c>
      <c r="B60" s="89" t="s">
        <v>317</v>
      </c>
      <c r="C60" s="107" t="s">
        <v>318</v>
      </c>
      <c r="D60" s="90" t="s">
        <v>319</v>
      </c>
      <c r="E60" s="90" t="s">
        <v>24</v>
      </c>
      <c r="F60" s="90" t="s">
        <v>25</v>
      </c>
      <c r="G60" s="90" t="s">
        <v>320</v>
      </c>
      <c r="H60" s="89" t="s">
        <v>321</v>
      </c>
      <c r="I60" s="91"/>
      <c r="J60" s="92">
        <v>46064</v>
      </c>
      <c r="K60" s="92">
        <v>46184</v>
      </c>
      <c r="L60" s="91"/>
      <c r="M60" s="90">
        <v>522191</v>
      </c>
      <c r="N60" s="93">
        <v>8400000</v>
      </c>
    </row>
    <row r="61" spans="1:14" ht="30.75">
      <c r="A61" s="26">
        <f t="shared" si="0"/>
        <v>48</v>
      </c>
      <c r="B61" s="93" t="s">
        <v>322</v>
      </c>
      <c r="C61" s="107" t="s">
        <v>323</v>
      </c>
      <c r="D61" s="90" t="s">
        <v>324</v>
      </c>
      <c r="E61" s="90" t="s">
        <v>24</v>
      </c>
      <c r="F61" s="90" t="s">
        <v>25</v>
      </c>
      <c r="G61" s="90" t="s">
        <v>292</v>
      </c>
      <c r="H61" s="93" t="s">
        <v>321</v>
      </c>
      <c r="I61" s="91"/>
      <c r="J61" s="92">
        <v>46065</v>
      </c>
      <c r="K61" s="92">
        <v>46185</v>
      </c>
      <c r="L61" s="91"/>
      <c r="M61" s="90">
        <v>522191</v>
      </c>
      <c r="N61" s="93">
        <v>8400000</v>
      </c>
    </row>
    <row r="62" spans="1:14" ht="30.75">
      <c r="A62" s="26">
        <f t="shared" si="0"/>
        <v>49</v>
      </c>
      <c r="B62" s="89" t="s">
        <v>325</v>
      </c>
      <c r="C62" s="107" t="s">
        <v>326</v>
      </c>
      <c r="D62" s="90" t="s">
        <v>327</v>
      </c>
      <c r="E62" s="90" t="s">
        <v>24</v>
      </c>
      <c r="F62" s="90" t="s">
        <v>25</v>
      </c>
      <c r="G62" s="90" t="s">
        <v>265</v>
      </c>
      <c r="H62" s="89" t="s">
        <v>328</v>
      </c>
      <c r="I62" s="91"/>
      <c r="J62" s="92">
        <v>46083</v>
      </c>
      <c r="K62" s="92">
        <v>46232</v>
      </c>
      <c r="L62" s="91"/>
      <c r="M62" s="90">
        <v>522191</v>
      </c>
      <c r="N62" s="93">
        <v>8400000</v>
      </c>
    </row>
    <row r="63" spans="1:14" ht="30.75">
      <c r="A63" s="26">
        <f t="shared" si="0"/>
        <v>50</v>
      </c>
      <c r="B63" s="93" t="s">
        <v>329</v>
      </c>
      <c r="C63" s="106" t="s">
        <v>330</v>
      </c>
      <c r="D63" s="85" t="s">
        <v>331</v>
      </c>
      <c r="E63" s="85" t="s">
        <v>24</v>
      </c>
      <c r="F63" s="85" t="s">
        <v>25</v>
      </c>
      <c r="G63" s="85" t="s">
        <v>265</v>
      </c>
      <c r="H63" s="84" t="s">
        <v>328</v>
      </c>
      <c r="I63" s="87"/>
      <c r="J63" s="88">
        <v>46083</v>
      </c>
      <c r="K63" s="88">
        <v>46232</v>
      </c>
      <c r="L63" s="87"/>
      <c r="M63" s="85">
        <v>522191</v>
      </c>
      <c r="N63" s="84">
        <v>8400000</v>
      </c>
    </row>
    <row r="64" spans="1:14" ht="45.75">
      <c r="A64" s="26">
        <f t="shared" si="0"/>
        <v>51</v>
      </c>
      <c r="B64" s="89" t="s">
        <v>332</v>
      </c>
      <c r="C64" s="107" t="s">
        <v>333</v>
      </c>
      <c r="D64" s="90" t="s">
        <v>334</v>
      </c>
      <c r="E64" s="90" t="s">
        <v>67</v>
      </c>
      <c r="F64" s="90" t="s">
        <v>25</v>
      </c>
      <c r="G64" s="90" t="s">
        <v>335</v>
      </c>
      <c r="H64" s="89" t="s">
        <v>336</v>
      </c>
      <c r="I64" s="91"/>
      <c r="J64" s="92">
        <v>46083</v>
      </c>
      <c r="K64" s="92">
        <v>46242</v>
      </c>
      <c r="L64" s="91"/>
      <c r="M64" s="90">
        <v>522191</v>
      </c>
      <c r="N64" s="93">
        <v>8400000</v>
      </c>
    </row>
    <row r="65" spans="1:14" ht="45.75">
      <c r="A65" s="26">
        <f t="shared" si="0"/>
        <v>52</v>
      </c>
      <c r="B65" s="93" t="s">
        <v>337</v>
      </c>
      <c r="C65" s="107" t="s">
        <v>338</v>
      </c>
      <c r="D65" s="90" t="s">
        <v>339</v>
      </c>
      <c r="E65" s="90" t="s">
        <v>24</v>
      </c>
      <c r="F65" s="90" t="s">
        <v>25</v>
      </c>
      <c r="G65" s="90" t="s">
        <v>335</v>
      </c>
      <c r="H65" s="93" t="s">
        <v>336</v>
      </c>
      <c r="I65" s="91"/>
      <c r="J65" s="92">
        <v>46083</v>
      </c>
      <c r="K65" s="92">
        <v>46242</v>
      </c>
      <c r="L65" s="91"/>
      <c r="M65" s="90">
        <v>522191</v>
      </c>
      <c r="N65" s="93">
        <v>8400000</v>
      </c>
    </row>
    <row r="66" spans="1:14" ht="30.75">
      <c r="A66" s="26">
        <f t="shared" si="0"/>
        <v>53</v>
      </c>
      <c r="B66" s="89" t="s">
        <v>340</v>
      </c>
      <c r="C66" s="107" t="s">
        <v>341</v>
      </c>
      <c r="D66" s="90" t="s">
        <v>342</v>
      </c>
      <c r="E66" s="90" t="s">
        <v>24</v>
      </c>
      <c r="F66" s="90" t="s">
        <v>25</v>
      </c>
      <c r="G66" s="90" t="s">
        <v>335</v>
      </c>
      <c r="H66" s="89" t="s">
        <v>343</v>
      </c>
      <c r="I66" s="91"/>
      <c r="J66" s="92">
        <v>46083</v>
      </c>
      <c r="K66" s="92">
        <v>46172</v>
      </c>
      <c r="L66" s="91"/>
      <c r="M66" s="90">
        <v>522191</v>
      </c>
      <c r="N66" s="93">
        <v>6600000</v>
      </c>
    </row>
    <row r="67" spans="1:14" ht="76.5">
      <c r="A67" s="26">
        <f t="shared" si="0"/>
        <v>54</v>
      </c>
      <c r="B67" s="93" t="s">
        <v>344</v>
      </c>
      <c r="C67" s="107" t="s">
        <v>345</v>
      </c>
      <c r="D67" s="90" t="s">
        <v>346</v>
      </c>
      <c r="E67" s="90" t="s">
        <v>67</v>
      </c>
      <c r="F67" s="90" t="s">
        <v>25</v>
      </c>
      <c r="G67" s="94" t="s">
        <v>347</v>
      </c>
      <c r="H67" s="93" t="s">
        <v>343</v>
      </c>
      <c r="I67" s="91"/>
      <c r="J67" s="92">
        <v>46083</v>
      </c>
      <c r="K67" s="92">
        <v>46172</v>
      </c>
      <c r="L67" s="91"/>
      <c r="M67" s="90">
        <v>522191</v>
      </c>
      <c r="N67" s="93">
        <v>6600000</v>
      </c>
    </row>
    <row r="68" spans="1:14" ht="30.75">
      <c r="A68" s="26">
        <f t="shared" si="0"/>
        <v>55</v>
      </c>
      <c r="B68" s="89" t="s">
        <v>348</v>
      </c>
      <c r="C68" s="107" t="s">
        <v>349</v>
      </c>
      <c r="D68" s="90" t="s">
        <v>350</v>
      </c>
      <c r="E68" s="90" t="s">
        <v>24</v>
      </c>
      <c r="F68" s="90" t="s">
        <v>351</v>
      </c>
      <c r="G68" s="91"/>
      <c r="H68" s="89" t="s">
        <v>343</v>
      </c>
      <c r="I68" s="91"/>
      <c r="J68" s="92">
        <v>46083</v>
      </c>
      <c r="K68" s="92">
        <v>46172</v>
      </c>
      <c r="L68" s="91"/>
      <c r="M68" s="90">
        <v>522191</v>
      </c>
      <c r="N68" s="93">
        <v>6600000</v>
      </c>
    </row>
    <row r="69" spans="1:14" ht="30.75">
      <c r="A69" s="26">
        <f t="shared" si="0"/>
        <v>56</v>
      </c>
      <c r="B69" s="93" t="s">
        <v>352</v>
      </c>
      <c r="C69" s="110" t="s">
        <v>353</v>
      </c>
      <c r="D69" s="91" t="s">
        <v>354</v>
      </c>
      <c r="E69" s="91" t="s">
        <v>24</v>
      </c>
      <c r="F69" s="91" t="s">
        <v>355</v>
      </c>
      <c r="G69" s="91" t="s">
        <v>356</v>
      </c>
      <c r="H69" s="93" t="s">
        <v>343</v>
      </c>
      <c r="I69" s="91"/>
      <c r="J69" s="92">
        <v>46083</v>
      </c>
      <c r="K69" s="92">
        <v>46172</v>
      </c>
      <c r="L69" s="91"/>
      <c r="M69" s="90">
        <v>522191</v>
      </c>
      <c r="N69" s="93">
        <v>6600000</v>
      </c>
    </row>
    <row r="70" spans="1:14" ht="30.75">
      <c r="A70" s="26">
        <f t="shared" si="0"/>
        <v>57</v>
      </c>
      <c r="B70" s="89" t="s">
        <v>357</v>
      </c>
      <c r="C70" s="107" t="s">
        <v>318</v>
      </c>
      <c r="D70" s="91"/>
      <c r="E70" s="90" t="s">
        <v>24</v>
      </c>
      <c r="F70" s="90" t="s">
        <v>358</v>
      </c>
      <c r="G70" s="90" t="s">
        <v>359</v>
      </c>
      <c r="H70" s="89" t="s">
        <v>343</v>
      </c>
      <c r="I70" s="91"/>
      <c r="J70" s="92">
        <v>46083</v>
      </c>
      <c r="K70" s="92">
        <v>46172</v>
      </c>
      <c r="L70" s="91"/>
      <c r="M70" s="90">
        <v>522191</v>
      </c>
      <c r="N70" s="93">
        <v>6600000</v>
      </c>
    </row>
    <row r="71" spans="1:14" ht="16.5">
      <c r="A71" s="26">
        <f t="shared" si="0"/>
        <v>58</v>
      </c>
      <c r="B71" s="95" t="s">
        <v>360</v>
      </c>
      <c r="C71" s="109" t="s">
        <v>361</v>
      </c>
      <c r="D71" s="95" t="s">
        <v>362</v>
      </c>
      <c r="E71" s="95" t="s">
        <v>24</v>
      </c>
      <c r="F71" s="95" t="s">
        <v>25</v>
      </c>
      <c r="G71" s="91"/>
      <c r="H71" s="95" t="s">
        <v>363</v>
      </c>
      <c r="I71" s="91"/>
      <c r="J71" s="96">
        <v>46136</v>
      </c>
      <c r="K71" s="96">
        <v>46225</v>
      </c>
      <c r="L71" s="91"/>
      <c r="M71" s="95">
        <v>522131</v>
      </c>
      <c r="N71" s="93">
        <v>8400000</v>
      </c>
    </row>
    <row r="72" spans="1:14" ht="16.5">
      <c r="A72" s="26">
        <f t="shared" si="0"/>
        <v>59</v>
      </c>
      <c r="B72" s="95" t="s">
        <v>364</v>
      </c>
      <c r="C72" s="109" t="s">
        <v>365</v>
      </c>
      <c r="D72" s="95" t="s">
        <v>366</v>
      </c>
      <c r="E72" s="95" t="s">
        <v>24</v>
      </c>
      <c r="F72" s="95" t="s">
        <v>25</v>
      </c>
      <c r="G72" s="91"/>
      <c r="H72" s="95" t="s">
        <v>363</v>
      </c>
      <c r="I72" s="91"/>
      <c r="J72" s="96">
        <v>46136</v>
      </c>
      <c r="K72" s="96">
        <v>46225</v>
      </c>
      <c r="L72" s="91"/>
      <c r="M72" s="95">
        <v>522131</v>
      </c>
      <c r="N72" s="93">
        <v>8400000</v>
      </c>
    </row>
    <row r="73" spans="1:14" ht="32.25">
      <c r="A73" s="26">
        <f t="shared" si="0"/>
        <v>60</v>
      </c>
      <c r="B73" s="95" t="s">
        <v>367</v>
      </c>
      <c r="C73" s="109" t="s">
        <v>368</v>
      </c>
      <c r="D73" s="95" t="s">
        <v>369</v>
      </c>
      <c r="E73" s="95" t="s">
        <v>24</v>
      </c>
      <c r="F73" s="95" t="s">
        <v>370</v>
      </c>
      <c r="G73" s="95" t="s">
        <v>371</v>
      </c>
      <c r="H73" s="95" t="s">
        <v>372</v>
      </c>
      <c r="I73" s="91"/>
      <c r="J73" s="96">
        <v>46136</v>
      </c>
      <c r="K73" s="96">
        <v>46225</v>
      </c>
      <c r="L73" s="91"/>
      <c r="M73" s="95">
        <v>522131</v>
      </c>
      <c r="N73" s="93">
        <v>8400000</v>
      </c>
    </row>
    <row r="74" spans="1:14" ht="30.75">
      <c r="A74" s="26">
        <f t="shared" si="0"/>
        <v>61</v>
      </c>
      <c r="B74" s="95" t="s">
        <v>373</v>
      </c>
      <c r="C74" s="105">
        <v>2.187105030397E+16</v>
      </c>
      <c r="D74" s="95" t="s">
        <v>374</v>
      </c>
      <c r="E74" s="95" t="s">
        <v>24</v>
      </c>
      <c r="F74" s="95" t="s">
        <v>370</v>
      </c>
      <c r="G74" s="91"/>
      <c r="H74" s="93" t="s">
        <v>375</v>
      </c>
      <c r="I74" s="91"/>
      <c r="J74" s="96">
        <v>46093</v>
      </c>
      <c r="K74" s="96">
        <v>46243</v>
      </c>
      <c r="L74" s="91"/>
      <c r="M74" s="95">
        <v>522191</v>
      </c>
      <c r="N74" s="93">
        <v>8400000</v>
      </c>
    </row>
    <row r="75" spans="1:14" ht="30.75">
      <c r="A75" s="26">
        <f t="shared" si="0"/>
        <v>62</v>
      </c>
      <c r="B75" s="95" t="s">
        <v>376</v>
      </c>
      <c r="C75" s="109" t="s">
        <v>377</v>
      </c>
      <c r="D75" s="95" t="s">
        <v>378</v>
      </c>
      <c r="E75" s="95" t="s">
        <v>24</v>
      </c>
      <c r="F75" s="95" t="s">
        <v>370</v>
      </c>
      <c r="G75" s="91"/>
      <c r="H75" s="93" t="s">
        <v>375</v>
      </c>
      <c r="I75" s="91"/>
      <c r="J75" s="96">
        <v>46093</v>
      </c>
      <c r="K75" s="96">
        <v>46243</v>
      </c>
      <c r="L75" s="91"/>
      <c r="M75" s="95">
        <v>522191</v>
      </c>
      <c r="N75" s="93">
        <v>8400000</v>
      </c>
    </row>
    <row r="76" spans="1:14" ht="30.75">
      <c r="A76" s="26">
        <f t="shared" si="0"/>
        <v>63</v>
      </c>
      <c r="B76" s="95" t="s">
        <v>379</v>
      </c>
      <c r="C76" s="109" t="s">
        <v>380</v>
      </c>
      <c r="D76" s="95" t="s">
        <v>381</v>
      </c>
      <c r="E76" s="95" t="s">
        <v>24</v>
      </c>
      <c r="F76" s="95" t="s">
        <v>370</v>
      </c>
      <c r="G76" s="91"/>
      <c r="H76" s="93" t="s">
        <v>375</v>
      </c>
      <c r="I76" s="91"/>
      <c r="J76" s="96">
        <v>46093</v>
      </c>
      <c r="K76" s="96">
        <v>46243</v>
      </c>
      <c r="L76" s="91"/>
      <c r="M76" s="95">
        <v>522191</v>
      </c>
      <c r="N76" s="93">
        <v>8400000</v>
      </c>
    </row>
  </sheetData>
  <autoFilter ref="A13:N13" xr:uid="{8D5E303D-8403-47B3-8A75-1A4DFA01A180}">
    <sortState xmlns:xlrd2="http://schemas.microsoft.com/office/spreadsheetml/2017/richdata2" ref="A14:N44">
      <sortCondition ref="I13"/>
    </sortState>
  </autoFilter>
  <mergeCells count="21">
    <mergeCell ref="I10:I12"/>
    <mergeCell ref="J10:L10"/>
    <mergeCell ref="M10:M12"/>
    <mergeCell ref="N10:N12"/>
    <mergeCell ref="E11:E12"/>
    <mergeCell ref="F11:F12"/>
    <mergeCell ref="G11:G12"/>
    <mergeCell ref="J11:J12"/>
    <mergeCell ref="K11:K12"/>
    <mergeCell ref="L11:L12"/>
    <mergeCell ref="H10:H12"/>
    <mergeCell ref="A10:A12"/>
    <mergeCell ref="B10:B12"/>
    <mergeCell ref="C10:C12"/>
    <mergeCell ref="D10:D12"/>
    <mergeCell ref="E10:G10"/>
    <mergeCell ref="A9:G9"/>
    <mergeCell ref="A5:N5"/>
    <mergeCell ref="A6:N6"/>
    <mergeCell ref="A7:N7"/>
    <mergeCell ref="A8:N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Okta Yulina</dc:creator>
  <cp:keywords/>
  <dc:description/>
  <cp:lastModifiedBy/>
  <cp:revision/>
  <dcterms:created xsi:type="dcterms:W3CDTF">2026-02-19T04:17:31Z</dcterms:created>
  <dcterms:modified xsi:type="dcterms:W3CDTF">2026-06-09T02:03:32Z</dcterms:modified>
  <cp:category/>
  <cp:contentStatus/>
</cp:coreProperties>
</file>